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ean Claude DUSHIME\Documents\Research papers developments\Data for droughts on beans\"/>
    </mc:Choice>
  </mc:AlternateContent>
  <xr:revisionPtr revIDLastSave="0" documentId="13_ncr:1_{E86B4D40-17CE-40AF-9DCA-9F78989E49A8}" xr6:coauthVersionLast="47" xr6:coauthVersionMax="47" xr10:uidLastSave="{00000000-0000-0000-0000-000000000000}"/>
  <bookViews>
    <workbookView xWindow="-120" yWindow="-120" windowWidth="38640" windowHeight="21120" activeTab="1" xr2:uid="{7DDEA04D-DDCE-4E20-8914-8E18854B5176}"/>
  </bookViews>
  <sheets>
    <sheet name="beans_area_ha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  <c r="Z2" i="1"/>
  <c r="Y2" i="1"/>
  <c r="Y2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</calcChain>
</file>

<file path=xl/sharedStrings.xml><?xml version="1.0" encoding="utf-8"?>
<sst xmlns="http://schemas.openxmlformats.org/spreadsheetml/2006/main" count="52" uniqueCount="29">
  <si>
    <t>Musanze</t>
  </si>
  <si>
    <t>Rubavu</t>
  </si>
  <si>
    <t>Nyabihu</t>
  </si>
  <si>
    <t>Rulindo</t>
  </si>
  <si>
    <t>Nyamagabe</t>
  </si>
  <si>
    <t>Karongi</t>
  </si>
  <si>
    <t>Gakenke</t>
  </si>
  <si>
    <t>Bugesera</t>
  </si>
  <si>
    <t>Kayonza</t>
  </si>
  <si>
    <t>Kirehe</t>
  </si>
  <si>
    <t>Ngoma</t>
  </si>
  <si>
    <t>Gatsibo</t>
  </si>
  <si>
    <t>Nyagatare</t>
  </si>
  <si>
    <t>Rwamagana</t>
  </si>
  <si>
    <t>Kicukiro</t>
  </si>
  <si>
    <t>Nyarugenge</t>
  </si>
  <si>
    <t>Gasabo</t>
  </si>
  <si>
    <t>Huye</t>
  </si>
  <si>
    <t>Muhanga</t>
  </si>
  <si>
    <t>Gisagara</t>
  </si>
  <si>
    <t>Rusizi</t>
  </si>
  <si>
    <t>Rwanda_National_Total_Area</t>
  </si>
  <si>
    <t>Years</t>
  </si>
  <si>
    <t xml:space="preserve">cultivated </t>
  </si>
  <si>
    <t>Average cultivated area</t>
  </si>
  <si>
    <t>Total area per district</t>
  </si>
  <si>
    <t>District</t>
  </si>
  <si>
    <t>Average of cultivated area</t>
  </si>
  <si>
    <t>Average per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</si>
</sst>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beans_area_ha!$C$27</c:f>
              <c:strCache>
                <c:ptCount val="1"/>
                <c:pt idx="0">
                  <c:v>Rwanda_National_Total_Area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beans_area_ha!$B$28:$B$50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beans_area_ha!$C$28:$C$50</c:f>
              <c:numCache>
                <c:formatCode>_-* #,##0_-;\-* #,##0_-;_-* "-"??_-;_-@_-</c:formatCode>
                <c:ptCount val="23"/>
                <c:pt idx="0">
                  <c:v>347412</c:v>
                </c:pt>
                <c:pt idx="1">
                  <c:v>346389</c:v>
                </c:pt>
                <c:pt idx="2">
                  <c:v>349995</c:v>
                </c:pt>
                <c:pt idx="3">
                  <c:v>340595</c:v>
                </c:pt>
                <c:pt idx="4">
                  <c:v>344742</c:v>
                </c:pt>
                <c:pt idx="5">
                  <c:v>342628</c:v>
                </c:pt>
                <c:pt idx="6">
                  <c:v>345650</c:v>
                </c:pt>
                <c:pt idx="7">
                  <c:v>347243</c:v>
                </c:pt>
                <c:pt idx="8">
                  <c:v>346569</c:v>
                </c:pt>
                <c:pt idx="9">
                  <c:v>344077</c:v>
                </c:pt>
                <c:pt idx="10">
                  <c:v>337090</c:v>
                </c:pt>
                <c:pt idx="11">
                  <c:v>338590</c:v>
                </c:pt>
                <c:pt idx="12">
                  <c:v>342621</c:v>
                </c:pt>
                <c:pt idx="13">
                  <c:v>340967</c:v>
                </c:pt>
                <c:pt idx="14">
                  <c:v>333763</c:v>
                </c:pt>
                <c:pt idx="15">
                  <c:v>331955</c:v>
                </c:pt>
                <c:pt idx="16">
                  <c:v>339509</c:v>
                </c:pt>
                <c:pt idx="17">
                  <c:v>342579</c:v>
                </c:pt>
                <c:pt idx="18">
                  <c:v>325366</c:v>
                </c:pt>
                <c:pt idx="19">
                  <c:v>324622</c:v>
                </c:pt>
                <c:pt idx="20">
                  <c:v>319231</c:v>
                </c:pt>
                <c:pt idx="21">
                  <c:v>319146</c:v>
                </c:pt>
                <c:pt idx="22">
                  <c:v>312601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1-4E20-A5F3-E2E660BE4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456063"/>
        <c:axId val="483456543"/>
      </c:barChart>
      <c:catAx>
        <c:axId val="48345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56543"/>
        <c:crosses val="autoZero"/>
        <c:auto val="1"/>
        <c:lblAlgn val="ctr"/>
        <c:lblOffset val="100"/>
        <c:noMultiLvlLbl val="0"/>
      </c:catAx>
      <c:valAx>
        <c:axId val="48345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beans_area_ha!$A$2</c:f>
              <c:strCache>
                <c:ptCount val="1"/>
                <c:pt idx="0">
                  <c:v>Musanze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beans_area_ha!$Y$2</c:f>
              <c:numCache>
                <c:formatCode>_-* #,##0_-;\-* #,##0_-;_-* "-"??_-;_-@_-</c:formatCode>
                <c:ptCount val="1"/>
                <c:pt idx="0">
                  <c:v>19239.08695652174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6-43C5-8882-72FB41BB1818}"/>
            </c:ext>
          </c:extLst>
        </c:ser>
        <c:ser>
          <c:idx val="1"/>
          <c:order val="1"/>
          <c:tx>
            <c:strRef>
              <c:f>beans_area_ha!$A$3</c:f>
              <c:strCache>
                <c:ptCount val="1"/>
                <c:pt idx="0">
                  <c:v>Rubavu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beans_area_ha!$Y$3</c:f>
              <c:numCache>
                <c:formatCode>_-* #,##0_-;\-* #,##0_-;_-* "-"??_-;_-@_-</c:formatCode>
                <c:ptCount val="1"/>
                <c:pt idx="0">
                  <c:v>19733.608695652172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6-43C5-8882-72FB41BB1818}"/>
            </c:ext>
          </c:extLst>
        </c:ser>
        <c:ser>
          <c:idx val="2"/>
          <c:order val="2"/>
          <c:tx>
            <c:strRef>
              <c:f>beans_area_ha!$A$4</c:f>
              <c:strCache>
                <c:ptCount val="1"/>
                <c:pt idx="0">
                  <c:v>Nyabihu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beans_area_ha!$Y$4</c:f>
              <c:numCache>
                <c:formatCode>_-* #,##0_-;\-* #,##0_-;_-* "-"??_-;_-@_-</c:formatCode>
                <c:ptCount val="1"/>
                <c:pt idx="0">
                  <c:v>19305.608695652172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6-43C5-8882-72FB41BB1818}"/>
            </c:ext>
          </c:extLst>
        </c:ser>
        <c:ser>
          <c:idx val="3"/>
          <c:order val="3"/>
          <c:tx>
            <c:strRef>
              <c:f>beans_area_ha!$A$5</c:f>
              <c:strCache>
                <c:ptCount val="1"/>
                <c:pt idx="0">
                  <c:v>Rulindo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beans_area_ha!$Y$5</c:f>
              <c:numCache>
                <c:formatCode>_-* #,##0_-;\-* #,##0_-;_-* "-"??_-;_-@_-</c:formatCode>
                <c:ptCount val="1"/>
                <c:pt idx="0">
                  <c:v>19646.782608695652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6-43C5-8882-72FB41BB1818}"/>
            </c:ext>
          </c:extLst>
        </c:ser>
        <c:ser>
          <c:idx val="4"/>
          <c:order val="4"/>
          <c:tx>
            <c:strRef>
              <c:f>beans_area_ha!$A$6</c:f>
              <c:strCache>
                <c:ptCount val="1"/>
                <c:pt idx="0">
                  <c:v>Nyamagabe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beans_area_ha!$Y$6</c:f>
              <c:numCache>
                <c:formatCode>_-* #,##0_-;\-* #,##0_-;_-* "-"??_-;_-@_-</c:formatCode>
                <c:ptCount val="1"/>
                <c:pt idx="0">
                  <c:v>19664.478260869564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C6-43C5-8882-72FB41BB1818}"/>
            </c:ext>
          </c:extLst>
        </c:ser>
        <c:ser>
          <c:idx val="5"/>
          <c:order val="5"/>
          <c:tx>
            <c:strRef>
              <c:f>beans_area_ha!$A$7</c:f>
              <c:strCache>
                <c:ptCount val="1"/>
                <c:pt idx="0">
                  <c:v>Karongi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beans_area_ha!$Y$7</c:f>
              <c:numCache>
                <c:formatCode>_-* #,##0_-;\-* #,##0_-;_-* "-"??_-;_-@_-</c:formatCode>
                <c:ptCount val="1"/>
                <c:pt idx="0">
                  <c:v>19778.956521739132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C6-43C5-8882-72FB41BB1818}"/>
            </c:ext>
          </c:extLst>
        </c:ser>
        <c:ser>
          <c:idx val="6"/>
          <c:order val="6"/>
          <c:tx>
            <c:strRef>
              <c:f>beans_area_ha!$A$8</c:f>
              <c:strCache>
                <c:ptCount val="1"/>
                <c:pt idx="0">
                  <c:v>Gakenke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beans_area_ha!$Y$8</c:f>
              <c:numCache>
                <c:formatCode>_-* #,##0_-;\-* #,##0_-;_-* "-"??_-;_-@_-</c:formatCode>
                <c:ptCount val="1"/>
                <c:pt idx="0">
                  <c:v>19084.304347826088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C6-43C5-8882-72FB41BB1818}"/>
            </c:ext>
          </c:extLst>
        </c:ser>
        <c:ser>
          <c:idx val="7"/>
          <c:order val="7"/>
          <c:tx>
            <c:strRef>
              <c:f>beans_area_ha!$A$9</c:f>
              <c:strCache>
                <c:ptCount val="1"/>
                <c:pt idx="0">
                  <c:v>Bugesera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beans_area_ha!$Y$9</c:f>
              <c:numCache>
                <c:formatCode>_-* #,##0_-;\-* #,##0_-;_-* "-"??_-;_-@_-</c:formatCode>
                <c:ptCount val="1"/>
                <c:pt idx="0">
                  <c:v>12683.04347826087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C6-43C5-8882-72FB41BB1818}"/>
            </c:ext>
          </c:extLst>
        </c:ser>
        <c:ser>
          <c:idx val="8"/>
          <c:order val="8"/>
          <c:tx>
            <c:strRef>
              <c:f>beans_area_ha!$A$10</c:f>
              <c:strCache>
                <c:ptCount val="1"/>
                <c:pt idx="0">
                  <c:v>Kayonza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beans_area_ha!$Y$10</c:f>
              <c:numCache>
                <c:formatCode>_-* #,##0_-;\-* #,##0_-;_-* "-"??_-;_-@_-</c:formatCode>
                <c:ptCount val="1"/>
                <c:pt idx="0">
                  <c:v>12791.739130434782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C6-43C5-8882-72FB41BB1818}"/>
            </c:ext>
          </c:extLst>
        </c:ser>
        <c:ser>
          <c:idx val="9"/>
          <c:order val="9"/>
          <c:tx>
            <c:strRef>
              <c:f>beans_area_ha!$A$11</c:f>
              <c:strCache>
                <c:ptCount val="1"/>
                <c:pt idx="0">
                  <c:v>Kirehe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beans_area_ha!$Y$11</c:f>
              <c:numCache>
                <c:formatCode>_-* #,##0_-;\-* #,##0_-;_-* "-"??_-;_-@_-</c:formatCode>
                <c:ptCount val="1"/>
                <c:pt idx="0">
                  <c:v>12605.304347826086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C6-43C5-8882-72FB41BB1818}"/>
            </c:ext>
          </c:extLst>
        </c:ser>
        <c:ser>
          <c:idx val="10"/>
          <c:order val="10"/>
          <c:tx>
            <c:strRef>
              <c:f>beans_area_ha!$A$12</c:f>
              <c:strCache>
                <c:ptCount val="1"/>
                <c:pt idx="0">
                  <c:v>Ngoma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beans_area_ha!$Y$12</c:f>
              <c:numCache>
                <c:formatCode>_-* #,##0_-;\-* #,##0_-;_-* "-"??_-;_-@_-</c:formatCode>
                <c:ptCount val="1"/>
                <c:pt idx="0">
                  <c:v>12713.521739130434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5C6-43C5-8882-72FB41BB1818}"/>
            </c:ext>
          </c:extLst>
        </c:ser>
        <c:ser>
          <c:idx val="11"/>
          <c:order val="11"/>
          <c:tx>
            <c:strRef>
              <c:f>beans_area_ha!$A$13</c:f>
              <c:strCache>
                <c:ptCount val="1"/>
                <c:pt idx="0">
                  <c:v>Gatsibo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beans_area_ha!$Y$13</c:f>
              <c:numCache>
                <c:formatCode>_-* #,##0_-;\-* #,##0_-;_-* "-"??_-;_-@_-</c:formatCode>
                <c:ptCount val="1"/>
                <c:pt idx="0">
                  <c:v>12703.695652173914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C6-43C5-8882-72FB41BB1818}"/>
            </c:ext>
          </c:extLst>
        </c:ser>
        <c:ser>
          <c:idx val="12"/>
          <c:order val="12"/>
          <c:tx>
            <c:strRef>
              <c:f>beans_area_ha!$A$14</c:f>
              <c:strCache>
                <c:ptCount val="1"/>
                <c:pt idx="0">
                  <c:v>Nyagatare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beans_area_ha!$Y$14</c:f>
              <c:numCache>
                <c:formatCode>_-* #,##0_-;\-* #,##0_-;_-* "-"??_-;_-@_-</c:formatCode>
                <c:ptCount val="1"/>
                <c:pt idx="0">
                  <c:v>12438.304347826086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5C6-43C5-8882-72FB41BB1818}"/>
            </c:ext>
          </c:extLst>
        </c:ser>
        <c:ser>
          <c:idx val="13"/>
          <c:order val="13"/>
          <c:tx>
            <c:strRef>
              <c:f>beans_area_ha!$A$15</c:f>
              <c:strCache>
                <c:ptCount val="1"/>
                <c:pt idx="0">
                  <c:v>Rwamagana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beans_area_ha!$Y$15</c:f>
              <c:numCache>
                <c:formatCode>_-* #,##0_-;\-* #,##0_-;_-* "-"??_-;_-@_-</c:formatCode>
                <c:ptCount val="1"/>
                <c:pt idx="0">
                  <c:v>12632.869565217392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C6-43C5-8882-72FB41BB1818}"/>
            </c:ext>
          </c:extLst>
        </c:ser>
        <c:ser>
          <c:idx val="14"/>
          <c:order val="14"/>
          <c:tx>
            <c:strRef>
              <c:f>beans_area_ha!$A$16</c:f>
              <c:strCache>
                <c:ptCount val="1"/>
                <c:pt idx="0">
                  <c:v>Kicukiro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beans_area_ha!$Y$16</c:f>
              <c:numCache>
                <c:formatCode>_-* #,##0_-;\-* #,##0_-;_-* "-"??_-;_-@_-</c:formatCode>
                <c:ptCount val="1"/>
                <c:pt idx="0">
                  <c:v>16344.95652173913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C6-43C5-8882-72FB41BB1818}"/>
            </c:ext>
          </c:extLst>
        </c:ser>
        <c:ser>
          <c:idx val="15"/>
          <c:order val="15"/>
          <c:tx>
            <c:strRef>
              <c:f>beans_area_ha!$A$17</c:f>
              <c:strCache>
                <c:ptCount val="1"/>
                <c:pt idx="0">
                  <c:v>Nyarugenge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beans_area_ha!$Y$17</c:f>
              <c:numCache>
                <c:formatCode>_-* #,##0_-;\-* #,##0_-;_-* "-"??_-;_-@_-</c:formatCode>
                <c:ptCount val="1"/>
                <c:pt idx="0">
                  <c:v>16107.260869565218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5C6-43C5-8882-72FB41BB1818}"/>
            </c:ext>
          </c:extLst>
        </c:ser>
        <c:ser>
          <c:idx val="16"/>
          <c:order val="16"/>
          <c:tx>
            <c:strRef>
              <c:f>beans_area_ha!$A$18</c:f>
              <c:strCache>
                <c:ptCount val="1"/>
                <c:pt idx="0">
                  <c:v>Gasabo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beans_area_ha!$Y$18</c:f>
              <c:numCache>
                <c:formatCode>_-* #,##0_-;\-* #,##0_-;_-* "-"??_-;_-@_-</c:formatCode>
                <c:ptCount val="1"/>
                <c:pt idx="0">
                  <c:v>16238.08695652174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5C6-43C5-8882-72FB41BB1818}"/>
            </c:ext>
          </c:extLst>
        </c:ser>
        <c:ser>
          <c:idx val="17"/>
          <c:order val="17"/>
          <c:tx>
            <c:strRef>
              <c:f>beans_area_ha!$A$19</c:f>
              <c:strCache>
                <c:ptCount val="1"/>
                <c:pt idx="0">
                  <c:v>Huye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beans_area_ha!$Y$19</c:f>
              <c:numCache>
                <c:formatCode>_-* #,##0_-;\-* #,##0_-;_-* "-"??_-;_-@_-</c:formatCode>
                <c:ptCount val="1"/>
                <c:pt idx="0">
                  <c:v>15979.217391304348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5C6-43C5-8882-72FB41BB1818}"/>
            </c:ext>
          </c:extLst>
        </c:ser>
        <c:ser>
          <c:idx val="18"/>
          <c:order val="18"/>
          <c:tx>
            <c:strRef>
              <c:f>beans_area_ha!$A$20</c:f>
              <c:strCache>
                <c:ptCount val="1"/>
                <c:pt idx="0">
                  <c:v>Muhanga</c:v>
                </c:pt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beans_area_ha!$Y$20</c:f>
              <c:numCache>
                <c:formatCode>_-* #,##0_-;\-* #,##0_-;_-* "-"??_-;_-@_-</c:formatCode>
                <c:ptCount val="1"/>
                <c:pt idx="0">
                  <c:v>16011.826086956522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5C6-43C5-8882-72FB41BB1818}"/>
            </c:ext>
          </c:extLst>
        </c:ser>
        <c:ser>
          <c:idx val="19"/>
          <c:order val="19"/>
          <c:tx>
            <c:strRef>
              <c:f>beans_area_ha!$A$21</c:f>
              <c:strCache>
                <c:ptCount val="1"/>
                <c:pt idx="0">
                  <c:v>Gisagara</c:v>
                </c:pt>
              </c:strCache>
            </c:strRef>
          </c:tx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beans_area_ha!$Y$21</c:f>
              <c:numCache>
                <c:formatCode>_-* #,##0_-;\-* #,##0_-;_-* "-"??_-;_-@_-</c:formatCode>
                <c:ptCount val="1"/>
                <c:pt idx="0">
                  <c:v>16030.217391304348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C6-43C5-8882-72FB41BB1818}"/>
            </c:ext>
          </c:extLst>
        </c:ser>
        <c:ser>
          <c:idx val="20"/>
          <c:order val="20"/>
          <c:tx>
            <c:strRef>
              <c:f>beans_area_ha!$A$22</c:f>
              <c:strCache>
                <c:ptCount val="1"/>
                <c:pt idx="0">
                  <c:v>Rusizi</c:v>
                </c:pt>
              </c:strCache>
            </c:strRef>
          </c:tx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beans_area_ha!$Y$1</c:f>
              <c:strCache>
                <c:ptCount val="1"/>
                <c:pt idx="0">
                  <c:v>Average cultivated area</c:v>
                </c:pt>
              </c:strCache>
            </c:strRef>
          </c:cat>
          <c:val>
            <c:numRef>
              <c:f>beans_area_ha!$Y$22</c:f>
              <c:numCache>
                <c:formatCode>_-* #,##0_-;\-* #,##0_-;_-* "-"??_-;_-@_-</c:formatCode>
                <c:ptCount val="1"/>
                <c:pt idx="0">
                  <c:v>15803.652173913044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5C6-43C5-8882-72FB41BB18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9505439"/>
        <c:axId val="1179495359"/>
      </c:barChart>
      <c:valAx>
        <c:axId val="1179495359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05439"/>
        <c:crossBetween val="between"/>
      </c:valAx>
      <c:catAx>
        <c:axId val="117950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953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</c:f>
              <c:strCache>
                <c:ptCount val="1"/>
                <c:pt idx="0">
                  <c:v>Average of cultivated area</c:v>
                </c:pt>
              </c:strCache>
            </c:strRef>
          </c:cat>
          <c:val>
            <c:numRef>
              <c:f>Analysis!$B$23</c:f>
              <c:numCache>
                <c:formatCode>_-* #,##0_-;\-* #,##0_-;_-* "-"??_-;_-@_-</c:formatCode>
                <c:ptCount val="1"/>
                <c:pt idx="0">
                  <c:v>342579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D-40A4-9C60-B3493E7A14AC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</c:f>
              <c:strCache>
                <c:ptCount val="1"/>
                <c:pt idx="0">
                  <c:v>Average of cultivated area</c:v>
                </c:pt>
              </c:strCache>
            </c:strRef>
          </c:cat>
          <c:val>
            <c:numRef>
              <c:f>Analysis!$C$23</c:f>
              <c:numCache>
                <c:formatCode>_-* #,##0_-;\-* #,##0_-;_-* "-"??_-;_-@_-</c:formatCode>
                <c:ptCount val="1"/>
                <c:pt idx="0">
                  <c:v>325366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D-40A4-9C60-B3493E7A14AC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</c:f>
              <c:strCache>
                <c:ptCount val="1"/>
                <c:pt idx="0">
                  <c:v>Average of cultivated area</c:v>
                </c:pt>
              </c:strCache>
            </c:strRef>
          </c:cat>
          <c:val>
            <c:numRef>
              <c:f>Analysis!$D$23</c:f>
              <c:numCache>
                <c:formatCode>_-* #,##0_-;\-* #,##0_-;_-* "-"??_-;_-@_-</c:formatCode>
                <c:ptCount val="1"/>
                <c:pt idx="0">
                  <c:v>324622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D-40A4-9C60-B3493E7A14AC}"/>
            </c:ext>
          </c:extLst>
        </c:ser>
        <c:ser>
          <c:idx val="3"/>
          <c:order val="3"/>
          <c:tx>
            <c:strRef>
              <c:f>Analysis!$E$1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</c:f>
              <c:strCache>
                <c:ptCount val="1"/>
                <c:pt idx="0">
                  <c:v>Average of cultivated area</c:v>
                </c:pt>
              </c:strCache>
            </c:strRef>
          </c:cat>
          <c:val>
            <c:numRef>
              <c:f>Analysis!$E$23</c:f>
              <c:numCache>
                <c:formatCode>_-* #,##0_-;\-* #,##0_-;_-* "-"??_-;_-@_-</c:formatCode>
                <c:ptCount val="1"/>
                <c:pt idx="0">
                  <c:v>319231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D-40A4-9C60-B3493E7A14AC}"/>
            </c:ext>
          </c:extLst>
        </c:ser>
        <c:ser>
          <c:idx val="4"/>
          <c:order val="4"/>
          <c:tx>
            <c:strRef>
              <c:f>Analysis!$F$1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</c:f>
              <c:strCache>
                <c:ptCount val="1"/>
                <c:pt idx="0">
                  <c:v>Average of cultivated area</c:v>
                </c:pt>
              </c:strCache>
            </c:strRef>
          </c:cat>
          <c:val>
            <c:numRef>
              <c:f>Analysis!$F$23</c:f>
              <c:numCache>
                <c:formatCode>_-* #,##0_-;\-* #,##0_-;_-* "-"??_-;_-@_-</c:formatCode>
                <c:ptCount val="1"/>
                <c:pt idx="0">
                  <c:v>319146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D-40A4-9C60-B3493E7A14AC}"/>
            </c:ext>
          </c:extLst>
        </c:ser>
        <c:ser>
          <c:idx val="5"/>
          <c:order val="5"/>
          <c:tx>
            <c:strRef>
              <c:f>Analysis!$G$1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</c:f>
              <c:strCache>
                <c:ptCount val="1"/>
                <c:pt idx="0">
                  <c:v>Average of cultivated area</c:v>
                </c:pt>
              </c:strCache>
            </c:strRef>
          </c:cat>
          <c:val>
            <c:numRef>
              <c:f>Analysis!$G$23</c:f>
              <c:numCache>
                <c:formatCode>_-* #,##0_-;\-* #,##0_-;_-* "-"??_-;_-@_-</c:formatCode>
                <c:ptCount val="1"/>
                <c:pt idx="0">
                  <c:v>312601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4D-40A4-9C60-B3493E7A14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79595679"/>
        <c:axId val="1179589439"/>
      </c:barChart>
      <c:valAx>
        <c:axId val="117958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cultivated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95679"/>
        <c:crossBetween val="between"/>
      </c:valAx>
      <c:catAx>
        <c:axId val="117959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894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25</xdr:row>
      <xdr:rowOff>4761</xdr:rowOff>
    </xdr:from>
    <xdr:to>
      <xdr:col>24</xdr:col>
      <xdr:colOff>104775</xdr:colOff>
      <xdr:row>47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12E5E-6635-1370-8407-84088E796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47624</xdr:colOff>
      <xdr:row>52</xdr:row>
      <xdr:rowOff>23812</xdr:rowOff>
    </xdr:from>
    <xdr:to>
      <xdr:col>19</xdr:col>
      <xdr:colOff>704850</xdr:colOff>
      <xdr:row>82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6B5DC-41F3-955D-6693-D45D6D463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28574</xdr:colOff>
      <xdr:row>7</xdr:row>
      <xdr:rowOff>180975</xdr:rowOff>
    </xdr:from>
    <xdr:to>
      <xdr:col>24</xdr:col>
      <xdr:colOff>590550</xdr:colOff>
      <xdr:row>24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91725-D8A2-5215-E565-08B7ECE85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EABD-E6AF-484C-9EAF-49B304E40892}">
  <sheetPr codeName="Sheet1"/>
  <dimension ref="A1:Z58"/>
  <sheetViews>
    <sheetView topLeftCell="A37" workbookViewId="0">
      <selection activeCell="B42" sqref="B42"/>
    </sheetView>
  </sheetViews>
  <sheetFormatPr defaultRowHeight="15" x14ac:dyDescent="0.25"/>
  <cols>
    <col min="1" max="1" width="30.140625" customWidth="1"/>
    <col min="2" max="2" width="16.42578125" customWidth="1"/>
    <col min="3" max="3" width="28.140625" customWidth="1"/>
    <col min="4" max="24" width="11.5703125" bestFit="1" customWidth="1"/>
    <col min="25" max="25" width="28.7109375" customWidth="1"/>
    <col min="26" max="26" width="13.85546875" customWidth="1"/>
  </cols>
  <sheetData>
    <row r="1" spans="1:26" x14ac:dyDescent="0.25">
      <c r="A1" t="s">
        <v>26</v>
      </c>
      <c r="B1">
        <v>2003</v>
      </c>
      <c r="C1">
        <v>2004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  <c r="W1">
        <v>2024</v>
      </c>
      <c r="X1">
        <v>2025</v>
      </c>
      <c r="Y1" t="s">
        <v>24</v>
      </c>
      <c r="Z1" t="s">
        <v>25</v>
      </c>
    </row>
    <row r="2" spans="1:26" x14ac:dyDescent="0.25">
      <c r="A2" t="s">
        <v>0</v>
      </c>
      <c r="B2" s="1">
        <v>19706</v>
      </c>
      <c r="C2" s="1">
        <v>21098</v>
      </c>
      <c r="D2" s="1">
        <v>20481</v>
      </c>
      <c r="E2" s="1">
        <v>19907</v>
      </c>
      <c r="F2" s="1">
        <v>19795</v>
      </c>
      <c r="G2" s="1">
        <v>17042</v>
      </c>
      <c r="H2" s="1">
        <v>18453</v>
      </c>
      <c r="I2" s="1">
        <v>18808</v>
      </c>
      <c r="J2" s="1">
        <v>20146</v>
      </c>
      <c r="K2" s="1">
        <v>20211</v>
      </c>
      <c r="L2" s="1">
        <v>20283</v>
      </c>
      <c r="M2" s="1">
        <v>20067</v>
      </c>
      <c r="N2" s="1">
        <v>17850</v>
      </c>
      <c r="O2" s="1">
        <v>18265</v>
      </c>
      <c r="P2" s="1">
        <v>19072</v>
      </c>
      <c r="Q2" s="1">
        <v>20870</v>
      </c>
      <c r="R2" s="1">
        <v>18205</v>
      </c>
      <c r="S2" s="1">
        <v>19575</v>
      </c>
      <c r="T2" s="1">
        <v>18768</v>
      </c>
      <c r="U2" s="1">
        <v>17507</v>
      </c>
      <c r="V2" s="1">
        <v>19250</v>
      </c>
      <c r="W2" s="1">
        <v>18093</v>
      </c>
      <c r="X2" s="1">
        <v>19047</v>
      </c>
      <c r="Y2" s="2">
        <f>AVERAGE(B2:X2)</f>
        <v>19239.08695652174</v>
      </c>
      <c r="Z2" s="2">
        <f>SUM(B2:X2)/23</f>
        <v>19239.08695652174</v>
      </c>
    </row>
    <row r="3" spans="1:26" x14ac:dyDescent="0.25">
      <c r="A3" t="s">
        <v>1</v>
      </c>
      <c r="B3" s="1">
        <v>20158</v>
      </c>
      <c r="C3" s="1">
        <v>20556</v>
      </c>
      <c r="D3" s="1">
        <v>19638</v>
      </c>
      <c r="E3" s="1">
        <v>20754</v>
      </c>
      <c r="F3" s="1">
        <v>22799</v>
      </c>
      <c r="G3" s="1">
        <v>18991</v>
      </c>
      <c r="H3" s="1">
        <v>18875</v>
      </c>
      <c r="I3" s="1">
        <v>18931</v>
      </c>
      <c r="J3" s="1">
        <v>19979</v>
      </c>
      <c r="K3" s="1">
        <v>20454</v>
      </c>
      <c r="L3" s="1">
        <v>20226</v>
      </c>
      <c r="M3" s="1">
        <v>20505</v>
      </c>
      <c r="N3" s="1">
        <v>19842</v>
      </c>
      <c r="O3" s="1">
        <v>19337</v>
      </c>
      <c r="P3" s="1">
        <v>19624</v>
      </c>
      <c r="Q3" s="1">
        <v>18676</v>
      </c>
      <c r="R3" s="1">
        <v>20713</v>
      </c>
      <c r="S3" s="1">
        <v>19000</v>
      </c>
      <c r="T3" s="1">
        <v>20063</v>
      </c>
      <c r="U3" s="1">
        <v>19391</v>
      </c>
      <c r="V3" s="1">
        <v>19451</v>
      </c>
      <c r="W3" s="1">
        <v>18456</v>
      </c>
      <c r="X3" s="1">
        <v>17454</v>
      </c>
      <c r="Y3" s="2">
        <f t="shared" ref="Y3:Y22" si="0">AVERAGE(B3:X3)</f>
        <v>19733.608695652172</v>
      </c>
    </row>
    <row r="4" spans="1:26" x14ac:dyDescent="0.25">
      <c r="A4" t="s">
        <v>2</v>
      </c>
      <c r="B4" s="1">
        <v>19425</v>
      </c>
      <c r="C4" s="1">
        <v>19524</v>
      </c>
      <c r="D4" s="1">
        <v>19772</v>
      </c>
      <c r="E4" s="1">
        <v>21452</v>
      </c>
      <c r="F4" s="1">
        <v>20308</v>
      </c>
      <c r="G4" s="1">
        <v>20890</v>
      </c>
      <c r="H4" s="1">
        <v>18667</v>
      </c>
      <c r="I4" s="1">
        <v>20802</v>
      </c>
      <c r="J4" s="1">
        <v>20272</v>
      </c>
      <c r="K4" s="1">
        <v>19874</v>
      </c>
      <c r="L4" s="1">
        <v>18666</v>
      </c>
      <c r="M4" s="1">
        <v>19379</v>
      </c>
      <c r="N4" s="1">
        <v>18405</v>
      </c>
      <c r="O4" s="1">
        <v>21146</v>
      </c>
      <c r="P4" s="1">
        <v>19958</v>
      </c>
      <c r="Q4" s="1">
        <v>18660</v>
      </c>
      <c r="R4" s="1">
        <v>18540</v>
      </c>
      <c r="S4" s="1">
        <v>17449</v>
      </c>
      <c r="T4" s="1">
        <v>18864</v>
      </c>
      <c r="U4" s="1">
        <v>18379</v>
      </c>
      <c r="V4" s="1">
        <v>16400</v>
      </c>
      <c r="W4" s="1">
        <v>18949</v>
      </c>
      <c r="X4" s="1">
        <v>18248</v>
      </c>
      <c r="Y4" s="2">
        <f t="shared" si="0"/>
        <v>19305.608695652172</v>
      </c>
    </row>
    <row r="5" spans="1:26" x14ac:dyDescent="0.25">
      <c r="A5" t="s">
        <v>3</v>
      </c>
      <c r="B5" s="1">
        <v>19262</v>
      </c>
      <c r="C5" s="1">
        <v>21870</v>
      </c>
      <c r="D5" s="1">
        <v>20196</v>
      </c>
      <c r="E5" s="1">
        <v>19162</v>
      </c>
      <c r="F5" s="1">
        <v>19363</v>
      </c>
      <c r="G5" s="1">
        <v>18556</v>
      </c>
      <c r="H5" s="1">
        <v>19401</v>
      </c>
      <c r="I5" s="1">
        <v>20404</v>
      </c>
      <c r="J5" s="1">
        <v>18991</v>
      </c>
      <c r="K5" s="1">
        <v>19495</v>
      </c>
      <c r="L5" s="1">
        <v>20064</v>
      </c>
      <c r="M5" s="1">
        <v>19523</v>
      </c>
      <c r="N5" s="1">
        <v>21468</v>
      </c>
      <c r="O5" s="1">
        <v>18180</v>
      </c>
      <c r="P5" s="1">
        <v>20242</v>
      </c>
      <c r="Q5" s="1">
        <v>20570</v>
      </c>
      <c r="R5" s="1">
        <v>20660</v>
      </c>
      <c r="S5" s="1">
        <v>20539</v>
      </c>
      <c r="T5" s="1">
        <v>19509</v>
      </c>
      <c r="U5" s="1">
        <v>18403</v>
      </c>
      <c r="V5" s="1">
        <v>18542</v>
      </c>
      <c r="W5" s="1">
        <v>18648</v>
      </c>
      <c r="X5" s="1">
        <v>18828</v>
      </c>
      <c r="Y5" s="2">
        <f t="shared" si="0"/>
        <v>19646.782608695652</v>
      </c>
    </row>
    <row r="6" spans="1:26" x14ac:dyDescent="0.25">
      <c r="A6" t="s">
        <v>4</v>
      </c>
      <c r="B6" s="1">
        <v>19138</v>
      </c>
      <c r="C6" s="1">
        <v>19397</v>
      </c>
      <c r="D6" s="1">
        <v>21264</v>
      </c>
      <c r="E6" s="1">
        <v>20133</v>
      </c>
      <c r="F6" s="1">
        <v>19279</v>
      </c>
      <c r="G6" s="1">
        <v>19631</v>
      </c>
      <c r="H6" s="1">
        <v>20493</v>
      </c>
      <c r="I6" s="1">
        <v>19925</v>
      </c>
      <c r="J6" s="1">
        <v>19353</v>
      </c>
      <c r="K6" s="1">
        <v>21969</v>
      </c>
      <c r="L6" s="1">
        <v>20243</v>
      </c>
      <c r="M6" s="1">
        <v>19006</v>
      </c>
      <c r="N6" s="1">
        <v>18543</v>
      </c>
      <c r="O6" s="1">
        <v>19646</v>
      </c>
      <c r="P6" s="1">
        <v>20195</v>
      </c>
      <c r="Q6" s="1">
        <v>18654</v>
      </c>
      <c r="R6" s="1">
        <v>19287</v>
      </c>
      <c r="S6" s="1">
        <v>20944</v>
      </c>
      <c r="T6" s="1">
        <v>19332</v>
      </c>
      <c r="U6" s="1">
        <v>20073</v>
      </c>
      <c r="V6" s="1">
        <v>18362</v>
      </c>
      <c r="W6" s="1">
        <v>18465</v>
      </c>
      <c r="X6" s="1">
        <v>18951</v>
      </c>
      <c r="Y6" s="2">
        <f t="shared" si="0"/>
        <v>19664.478260869564</v>
      </c>
    </row>
    <row r="7" spans="1:26" x14ac:dyDescent="0.25">
      <c r="A7" t="s">
        <v>5</v>
      </c>
      <c r="B7" s="1">
        <v>19713</v>
      </c>
      <c r="C7" s="1">
        <v>20511</v>
      </c>
      <c r="D7" s="1">
        <v>19825</v>
      </c>
      <c r="E7" s="1">
        <v>20291</v>
      </c>
      <c r="F7" s="1">
        <v>19352</v>
      </c>
      <c r="G7" s="1">
        <v>21806</v>
      </c>
      <c r="H7" s="1">
        <v>19259</v>
      </c>
      <c r="I7" s="1">
        <v>20359</v>
      </c>
      <c r="J7" s="1">
        <v>20429</v>
      </c>
      <c r="K7" s="1">
        <v>18916</v>
      </c>
      <c r="L7" s="1">
        <v>20922</v>
      </c>
      <c r="M7" s="1">
        <v>20386</v>
      </c>
      <c r="N7" s="1">
        <v>19836</v>
      </c>
      <c r="O7" s="1">
        <v>18779</v>
      </c>
      <c r="P7" s="1">
        <v>19535</v>
      </c>
      <c r="Q7" s="1">
        <v>20208</v>
      </c>
      <c r="R7" s="1">
        <v>20202</v>
      </c>
      <c r="S7" s="1">
        <v>20583</v>
      </c>
      <c r="T7" s="1">
        <v>19289</v>
      </c>
      <c r="U7" s="1">
        <v>18773</v>
      </c>
      <c r="V7" s="1">
        <v>19660</v>
      </c>
      <c r="W7" s="1">
        <v>18333</v>
      </c>
      <c r="X7" s="1">
        <v>17949</v>
      </c>
      <c r="Y7" s="2">
        <f t="shared" si="0"/>
        <v>19778.956521739132</v>
      </c>
    </row>
    <row r="8" spans="1:26" x14ac:dyDescent="0.25">
      <c r="A8" t="s">
        <v>6</v>
      </c>
      <c r="B8" s="1">
        <v>21512</v>
      </c>
      <c r="C8" s="1">
        <v>19676</v>
      </c>
      <c r="D8" s="1">
        <v>18832</v>
      </c>
      <c r="E8" s="1">
        <v>18547</v>
      </c>
      <c r="F8" s="1">
        <v>18520</v>
      </c>
      <c r="G8" s="1">
        <v>20585</v>
      </c>
      <c r="H8" s="1">
        <v>19267</v>
      </c>
      <c r="I8" s="1">
        <v>20559</v>
      </c>
      <c r="J8" s="1">
        <v>20317</v>
      </c>
      <c r="K8" s="1">
        <v>20095</v>
      </c>
      <c r="L8" s="1">
        <v>19740</v>
      </c>
      <c r="M8" s="1">
        <v>18434</v>
      </c>
      <c r="N8" s="1">
        <v>19514</v>
      </c>
      <c r="O8" s="1">
        <v>19587</v>
      </c>
      <c r="P8" s="1">
        <v>17221</v>
      </c>
      <c r="Q8" s="1">
        <v>19051</v>
      </c>
      <c r="R8" s="1">
        <v>18152</v>
      </c>
      <c r="S8" s="1">
        <v>18661</v>
      </c>
      <c r="T8" s="1">
        <v>19972</v>
      </c>
      <c r="U8" s="1">
        <v>18084</v>
      </c>
      <c r="V8" s="1">
        <v>17631</v>
      </c>
      <c r="W8" s="1">
        <v>17735</v>
      </c>
      <c r="X8" s="1">
        <v>17247</v>
      </c>
      <c r="Y8" s="2">
        <f t="shared" si="0"/>
        <v>19084.304347826088</v>
      </c>
    </row>
    <row r="9" spans="1:26" x14ac:dyDescent="0.25">
      <c r="A9" t="s">
        <v>7</v>
      </c>
      <c r="B9" s="1">
        <v>13545</v>
      </c>
      <c r="C9" s="1">
        <v>13445</v>
      </c>
      <c r="D9" s="1">
        <v>13772</v>
      </c>
      <c r="E9" s="1">
        <v>12598</v>
      </c>
      <c r="F9" s="1">
        <v>12450</v>
      </c>
      <c r="G9" s="1">
        <v>12328</v>
      </c>
      <c r="H9" s="1">
        <v>13605</v>
      </c>
      <c r="I9" s="1">
        <v>12836</v>
      </c>
      <c r="J9" s="1">
        <v>14245</v>
      </c>
      <c r="K9" s="1">
        <v>12572</v>
      </c>
      <c r="L9" s="1">
        <v>11685</v>
      </c>
      <c r="M9" s="1">
        <v>12349</v>
      </c>
      <c r="N9" s="1">
        <v>13195</v>
      </c>
      <c r="O9" s="1">
        <v>12117</v>
      </c>
      <c r="P9" s="1">
        <v>12784</v>
      </c>
      <c r="Q9" s="1">
        <v>12601</v>
      </c>
      <c r="R9" s="1">
        <v>12308</v>
      </c>
      <c r="S9" s="1">
        <v>13819</v>
      </c>
      <c r="T9" s="1">
        <v>11902</v>
      </c>
      <c r="U9" s="1">
        <v>12179</v>
      </c>
      <c r="V9" s="1">
        <v>12500</v>
      </c>
      <c r="W9" s="1">
        <v>11870</v>
      </c>
      <c r="X9" s="1">
        <v>11005</v>
      </c>
      <c r="Y9" s="2">
        <f t="shared" si="0"/>
        <v>12683.04347826087</v>
      </c>
    </row>
    <row r="10" spans="1:26" x14ac:dyDescent="0.25">
      <c r="A10" t="s">
        <v>8</v>
      </c>
      <c r="B10" s="1">
        <v>14582</v>
      </c>
      <c r="C10" s="1">
        <v>12691</v>
      </c>
      <c r="D10" s="1">
        <v>13062</v>
      </c>
      <c r="E10" s="1">
        <v>12269</v>
      </c>
      <c r="F10" s="1">
        <v>13214</v>
      </c>
      <c r="G10" s="1">
        <v>13385</v>
      </c>
      <c r="H10" s="1">
        <v>13113</v>
      </c>
      <c r="I10" s="1">
        <v>13743</v>
      </c>
      <c r="J10" s="1">
        <v>13662</v>
      </c>
      <c r="K10" s="1">
        <v>12793</v>
      </c>
      <c r="L10" s="1">
        <v>12547</v>
      </c>
      <c r="M10" s="1">
        <v>11945</v>
      </c>
      <c r="N10" s="1">
        <v>12911</v>
      </c>
      <c r="O10" s="1">
        <v>13021</v>
      </c>
      <c r="P10" s="1">
        <v>10980</v>
      </c>
      <c r="Q10" s="1">
        <v>14163</v>
      </c>
      <c r="R10" s="1">
        <v>12336</v>
      </c>
      <c r="S10" s="1">
        <v>13298</v>
      </c>
      <c r="T10" s="1">
        <v>12620</v>
      </c>
      <c r="U10" s="1">
        <v>12664</v>
      </c>
      <c r="V10" s="1">
        <v>11590</v>
      </c>
      <c r="W10" s="1">
        <v>12280</v>
      </c>
      <c r="X10" s="1">
        <v>11341</v>
      </c>
      <c r="Y10" s="2">
        <f t="shared" si="0"/>
        <v>12791.739130434782</v>
      </c>
    </row>
    <row r="11" spans="1:26" x14ac:dyDescent="0.25">
      <c r="A11" t="s">
        <v>9</v>
      </c>
      <c r="B11" s="1">
        <v>13810</v>
      </c>
      <c r="C11" s="1">
        <v>12305</v>
      </c>
      <c r="D11" s="1">
        <v>13732</v>
      </c>
      <c r="E11" s="1">
        <v>12210</v>
      </c>
      <c r="F11" s="1">
        <v>12648</v>
      </c>
      <c r="G11" s="1">
        <v>12845</v>
      </c>
      <c r="H11" s="1">
        <v>12808</v>
      </c>
      <c r="I11" s="1">
        <v>14326</v>
      </c>
      <c r="J11" s="1">
        <v>12999</v>
      </c>
      <c r="K11" s="1">
        <v>13190</v>
      </c>
      <c r="L11" s="1">
        <v>11866</v>
      </c>
      <c r="M11" s="1">
        <v>12510</v>
      </c>
      <c r="N11" s="1">
        <v>13731</v>
      </c>
      <c r="O11" s="1">
        <v>12438</v>
      </c>
      <c r="P11" s="1">
        <v>12455</v>
      </c>
      <c r="Q11" s="1">
        <v>11853</v>
      </c>
      <c r="R11" s="1">
        <v>12779</v>
      </c>
      <c r="S11" s="1">
        <v>13463</v>
      </c>
      <c r="T11" s="1">
        <v>11840</v>
      </c>
      <c r="U11" s="1">
        <v>11403</v>
      </c>
      <c r="V11" s="1">
        <v>10410</v>
      </c>
      <c r="W11" s="1">
        <v>11757</v>
      </c>
      <c r="X11" s="1">
        <v>12544</v>
      </c>
      <c r="Y11" s="2">
        <f t="shared" si="0"/>
        <v>12605.304347826086</v>
      </c>
    </row>
    <row r="12" spans="1:26" x14ac:dyDescent="0.25">
      <c r="A12" t="s">
        <v>10</v>
      </c>
      <c r="B12" s="1">
        <v>13321</v>
      </c>
      <c r="C12" s="1">
        <v>12050</v>
      </c>
      <c r="D12" s="1">
        <v>13751</v>
      </c>
      <c r="E12" s="1">
        <v>12002</v>
      </c>
      <c r="F12" s="1">
        <v>12241</v>
      </c>
      <c r="G12" s="1">
        <v>12277</v>
      </c>
      <c r="H12" s="1">
        <v>13165</v>
      </c>
      <c r="I12" s="1">
        <v>12826</v>
      </c>
      <c r="J12" s="1">
        <v>12760</v>
      </c>
      <c r="K12" s="1">
        <v>13701</v>
      </c>
      <c r="L12" s="1">
        <v>12762</v>
      </c>
      <c r="M12" s="1">
        <v>13928</v>
      </c>
      <c r="N12" s="1">
        <v>13864</v>
      </c>
      <c r="O12" s="1">
        <v>13556</v>
      </c>
      <c r="P12" s="1">
        <v>12351</v>
      </c>
      <c r="Q12" s="1">
        <v>12575</v>
      </c>
      <c r="R12" s="1">
        <v>12502</v>
      </c>
      <c r="S12" s="1">
        <v>12666</v>
      </c>
      <c r="T12" s="1">
        <v>12119</v>
      </c>
      <c r="U12" s="1">
        <v>11393</v>
      </c>
      <c r="V12" s="1">
        <v>12257</v>
      </c>
      <c r="W12" s="1">
        <v>12808</v>
      </c>
      <c r="X12" s="1">
        <v>11536</v>
      </c>
      <c r="Y12" s="2">
        <f t="shared" si="0"/>
        <v>12713.521739130434</v>
      </c>
    </row>
    <row r="13" spans="1:26" x14ac:dyDescent="0.25">
      <c r="A13" t="s">
        <v>11</v>
      </c>
      <c r="B13" s="1">
        <v>14050</v>
      </c>
      <c r="C13" s="1">
        <v>12296</v>
      </c>
      <c r="D13" s="1">
        <v>13843</v>
      </c>
      <c r="E13" s="1">
        <v>11352</v>
      </c>
      <c r="F13" s="1">
        <v>13673</v>
      </c>
      <c r="G13" s="1">
        <v>13773</v>
      </c>
      <c r="H13" s="1">
        <v>14263</v>
      </c>
      <c r="I13" s="1">
        <v>12749</v>
      </c>
      <c r="J13" s="1">
        <v>12494</v>
      </c>
      <c r="K13" s="1">
        <v>13568</v>
      </c>
      <c r="L13" s="1">
        <v>11914</v>
      </c>
      <c r="M13" s="1">
        <v>14135</v>
      </c>
      <c r="N13" s="1">
        <v>12892</v>
      </c>
      <c r="O13" s="1">
        <v>12057</v>
      </c>
      <c r="P13" s="1">
        <v>11677</v>
      </c>
      <c r="Q13" s="1">
        <v>12092</v>
      </c>
      <c r="R13" s="1">
        <v>12969</v>
      </c>
      <c r="S13" s="1">
        <v>13136</v>
      </c>
      <c r="T13" s="1">
        <v>11893</v>
      </c>
      <c r="U13" s="1">
        <v>12976</v>
      </c>
      <c r="V13" s="1">
        <v>11284</v>
      </c>
      <c r="W13" s="1">
        <v>12220</v>
      </c>
      <c r="X13" s="1">
        <v>10879</v>
      </c>
      <c r="Y13" s="2">
        <f t="shared" si="0"/>
        <v>12703.695652173914</v>
      </c>
    </row>
    <row r="14" spans="1:26" x14ac:dyDescent="0.25">
      <c r="A14" t="s">
        <v>12</v>
      </c>
      <c r="B14" s="1">
        <v>13967</v>
      </c>
      <c r="C14" s="1">
        <v>13107</v>
      </c>
      <c r="D14" s="1">
        <v>12822</v>
      </c>
      <c r="E14" s="1">
        <v>11447</v>
      </c>
      <c r="F14" s="1">
        <v>14218</v>
      </c>
      <c r="G14" s="1">
        <v>12130</v>
      </c>
      <c r="H14" s="1">
        <v>12994</v>
      </c>
      <c r="I14" s="1">
        <v>12854</v>
      </c>
      <c r="J14" s="1">
        <v>12981</v>
      </c>
      <c r="K14" s="1">
        <v>12318</v>
      </c>
      <c r="L14" s="1">
        <v>12754</v>
      </c>
      <c r="M14" s="1">
        <v>12178</v>
      </c>
      <c r="N14" s="1">
        <v>12412</v>
      </c>
      <c r="O14" s="1">
        <v>13405</v>
      </c>
      <c r="P14" s="1">
        <v>11706</v>
      </c>
      <c r="Q14" s="1">
        <v>11946</v>
      </c>
      <c r="R14" s="1">
        <v>12101</v>
      </c>
      <c r="S14" s="1">
        <v>13035</v>
      </c>
      <c r="T14" s="1">
        <v>10878</v>
      </c>
      <c r="U14" s="1">
        <v>12477</v>
      </c>
      <c r="V14" s="1">
        <v>10694</v>
      </c>
      <c r="W14" s="1">
        <v>12594</v>
      </c>
      <c r="X14" s="1">
        <v>11063</v>
      </c>
      <c r="Y14" s="2">
        <f t="shared" si="0"/>
        <v>12438.304347826086</v>
      </c>
    </row>
    <row r="15" spans="1:26" x14ac:dyDescent="0.25">
      <c r="A15" t="s">
        <v>13</v>
      </c>
      <c r="B15" s="1">
        <v>12808</v>
      </c>
      <c r="C15" s="1">
        <v>12626</v>
      </c>
      <c r="D15" s="1">
        <v>13307</v>
      </c>
      <c r="E15" s="1">
        <v>12733</v>
      </c>
      <c r="F15" s="1">
        <v>12738</v>
      </c>
      <c r="G15" s="1">
        <v>12407</v>
      </c>
      <c r="H15" s="1">
        <v>14207</v>
      </c>
      <c r="I15" s="1">
        <v>14811</v>
      </c>
      <c r="J15" s="1">
        <v>12902</v>
      </c>
      <c r="K15" s="1">
        <v>12898</v>
      </c>
      <c r="L15" s="1">
        <v>12798</v>
      </c>
      <c r="M15" s="1">
        <v>12908</v>
      </c>
      <c r="N15" s="1">
        <v>12906</v>
      </c>
      <c r="O15" s="1">
        <v>12352</v>
      </c>
      <c r="P15" s="1">
        <v>11685</v>
      </c>
      <c r="Q15" s="1">
        <v>11548</v>
      </c>
      <c r="R15" s="1">
        <v>13246</v>
      </c>
      <c r="S15" s="1">
        <v>13452</v>
      </c>
      <c r="T15" s="1">
        <v>10879</v>
      </c>
      <c r="U15" s="1">
        <v>12363</v>
      </c>
      <c r="V15" s="1">
        <v>11598</v>
      </c>
      <c r="W15" s="1">
        <v>11577</v>
      </c>
      <c r="X15" s="1">
        <v>11807</v>
      </c>
      <c r="Y15" s="2">
        <f t="shared" si="0"/>
        <v>12632.869565217392</v>
      </c>
    </row>
    <row r="16" spans="1:26" x14ac:dyDescent="0.25">
      <c r="A16" t="s">
        <v>14</v>
      </c>
      <c r="B16" s="1">
        <v>16416</v>
      </c>
      <c r="C16" s="1">
        <v>16968</v>
      </c>
      <c r="D16" s="1">
        <v>16486</v>
      </c>
      <c r="E16" s="1">
        <v>15383</v>
      </c>
      <c r="F16" s="1">
        <v>17435</v>
      </c>
      <c r="G16" s="1">
        <v>17236</v>
      </c>
      <c r="H16" s="1">
        <v>16263</v>
      </c>
      <c r="I16" s="1">
        <v>17078</v>
      </c>
      <c r="J16" s="1">
        <v>16840</v>
      </c>
      <c r="K16" s="1">
        <v>16177</v>
      </c>
      <c r="L16" s="1">
        <v>16313</v>
      </c>
      <c r="M16" s="1">
        <v>15993</v>
      </c>
      <c r="N16" s="1">
        <v>16781</v>
      </c>
      <c r="O16" s="1">
        <v>17913</v>
      </c>
      <c r="P16" s="1">
        <v>16688</v>
      </c>
      <c r="Q16" s="1">
        <v>16674</v>
      </c>
      <c r="R16" s="1">
        <v>16473</v>
      </c>
      <c r="S16" s="1">
        <v>15674</v>
      </c>
      <c r="T16" s="1">
        <v>15386</v>
      </c>
      <c r="U16" s="1">
        <v>15581</v>
      </c>
      <c r="V16" s="1">
        <v>15482</v>
      </c>
      <c r="W16" s="1">
        <v>15330</v>
      </c>
      <c r="X16" s="1">
        <v>15364</v>
      </c>
      <c r="Y16" s="2">
        <f t="shared" si="0"/>
        <v>16344.95652173913</v>
      </c>
    </row>
    <row r="17" spans="1:25" x14ac:dyDescent="0.25">
      <c r="A17" t="s">
        <v>15</v>
      </c>
      <c r="B17" s="1">
        <v>17018</v>
      </c>
      <c r="C17" s="1">
        <v>16940</v>
      </c>
      <c r="D17" s="1">
        <v>16846</v>
      </c>
      <c r="E17" s="1">
        <v>18327</v>
      </c>
      <c r="F17" s="1">
        <v>16514</v>
      </c>
      <c r="G17" s="1">
        <v>16494</v>
      </c>
      <c r="H17" s="1">
        <v>18067</v>
      </c>
      <c r="I17" s="1">
        <v>16705</v>
      </c>
      <c r="J17" s="1">
        <v>16827</v>
      </c>
      <c r="K17" s="1">
        <v>15910</v>
      </c>
      <c r="L17" s="1">
        <v>14866</v>
      </c>
      <c r="M17" s="1">
        <v>13598</v>
      </c>
      <c r="N17" s="1">
        <v>15157</v>
      </c>
      <c r="O17" s="1">
        <v>17020</v>
      </c>
      <c r="P17" s="1">
        <v>17323</v>
      </c>
      <c r="Q17" s="1">
        <v>14603</v>
      </c>
      <c r="R17" s="1">
        <v>16346</v>
      </c>
      <c r="S17" s="1">
        <v>16711</v>
      </c>
      <c r="T17" s="1">
        <v>14391</v>
      </c>
      <c r="U17" s="1">
        <v>15627</v>
      </c>
      <c r="V17" s="1">
        <v>15732</v>
      </c>
      <c r="W17" s="1">
        <v>14910</v>
      </c>
      <c r="X17" s="1">
        <v>14535</v>
      </c>
      <c r="Y17" s="2">
        <f t="shared" si="0"/>
        <v>16107.260869565218</v>
      </c>
    </row>
    <row r="18" spans="1:25" x14ac:dyDescent="0.25">
      <c r="A18" t="s">
        <v>16</v>
      </c>
      <c r="B18" s="1">
        <v>17359</v>
      </c>
      <c r="C18" s="1">
        <v>17485</v>
      </c>
      <c r="D18" s="1">
        <v>15477</v>
      </c>
      <c r="E18" s="1">
        <v>16872</v>
      </c>
      <c r="F18" s="1">
        <v>16193</v>
      </c>
      <c r="G18" s="1">
        <v>16479</v>
      </c>
      <c r="H18" s="1">
        <v>17406</v>
      </c>
      <c r="I18" s="1">
        <v>17217</v>
      </c>
      <c r="J18" s="1">
        <v>16634</v>
      </c>
      <c r="K18" s="1">
        <v>16292</v>
      </c>
      <c r="L18" s="1">
        <v>17031</v>
      </c>
      <c r="M18" s="1">
        <v>16424</v>
      </c>
      <c r="N18" s="1">
        <v>15073</v>
      </c>
      <c r="O18" s="1">
        <v>16347</v>
      </c>
      <c r="P18" s="1">
        <v>15368</v>
      </c>
      <c r="Q18" s="1">
        <v>14671</v>
      </c>
      <c r="R18" s="1">
        <v>17981</v>
      </c>
      <c r="S18" s="1">
        <v>16588</v>
      </c>
      <c r="T18" s="1">
        <v>16621</v>
      </c>
      <c r="U18" s="1">
        <v>15762</v>
      </c>
      <c r="V18" s="1">
        <v>14335</v>
      </c>
      <c r="W18" s="1">
        <v>14796</v>
      </c>
      <c r="X18" s="1">
        <v>15065</v>
      </c>
      <c r="Y18" s="2">
        <f t="shared" si="0"/>
        <v>16238.08695652174</v>
      </c>
    </row>
    <row r="19" spans="1:25" x14ac:dyDescent="0.25">
      <c r="A19" t="s">
        <v>17</v>
      </c>
      <c r="B19" s="1">
        <v>15976</v>
      </c>
      <c r="C19" s="1">
        <v>16307</v>
      </c>
      <c r="D19" s="1">
        <v>17342</v>
      </c>
      <c r="E19" s="1">
        <v>17042</v>
      </c>
      <c r="F19" s="1">
        <v>17385</v>
      </c>
      <c r="G19" s="1">
        <v>16312</v>
      </c>
      <c r="H19" s="1">
        <v>17021</v>
      </c>
      <c r="I19" s="1">
        <v>15943</v>
      </c>
      <c r="J19" s="1">
        <v>16241</v>
      </c>
      <c r="K19" s="1">
        <v>15069</v>
      </c>
      <c r="L19" s="1">
        <v>15029</v>
      </c>
      <c r="M19" s="1">
        <v>15417</v>
      </c>
      <c r="N19" s="1">
        <v>17286</v>
      </c>
      <c r="O19" s="1">
        <v>15762</v>
      </c>
      <c r="P19" s="1">
        <v>15060</v>
      </c>
      <c r="Q19" s="1">
        <v>15139</v>
      </c>
      <c r="R19" s="1">
        <v>16058</v>
      </c>
      <c r="S19" s="1">
        <v>15154</v>
      </c>
      <c r="T19" s="1">
        <v>15654</v>
      </c>
      <c r="U19" s="1">
        <v>16006</v>
      </c>
      <c r="V19" s="1">
        <v>16294</v>
      </c>
      <c r="W19" s="1">
        <v>14160</v>
      </c>
      <c r="X19" s="1">
        <v>15865</v>
      </c>
      <c r="Y19" s="2">
        <f t="shared" si="0"/>
        <v>15979.217391304348</v>
      </c>
    </row>
    <row r="20" spans="1:25" x14ac:dyDescent="0.25">
      <c r="A20" t="s">
        <v>18</v>
      </c>
      <c r="B20" s="1">
        <v>15230</v>
      </c>
      <c r="C20" s="1">
        <v>14525</v>
      </c>
      <c r="D20" s="1">
        <v>16190</v>
      </c>
      <c r="E20" s="1">
        <v>16838</v>
      </c>
      <c r="F20" s="1">
        <v>15355</v>
      </c>
      <c r="G20" s="1">
        <v>16033</v>
      </c>
      <c r="H20" s="1">
        <v>16576</v>
      </c>
      <c r="I20" s="1">
        <v>16137</v>
      </c>
      <c r="J20" s="1">
        <v>15538</v>
      </c>
      <c r="K20" s="1">
        <v>16890</v>
      </c>
      <c r="L20" s="1">
        <v>15635</v>
      </c>
      <c r="M20" s="1">
        <v>16680</v>
      </c>
      <c r="N20" s="1">
        <v>17434</v>
      </c>
      <c r="O20" s="1">
        <v>17962</v>
      </c>
      <c r="P20" s="1">
        <v>16989</v>
      </c>
      <c r="Q20" s="1">
        <v>15650</v>
      </c>
      <c r="R20" s="1">
        <v>17247</v>
      </c>
      <c r="S20" s="1">
        <v>16253</v>
      </c>
      <c r="T20" s="1">
        <v>13876</v>
      </c>
      <c r="U20" s="1">
        <v>15242</v>
      </c>
      <c r="V20" s="1">
        <v>16996</v>
      </c>
      <c r="W20" s="1">
        <v>14859</v>
      </c>
      <c r="X20" s="1">
        <v>14137</v>
      </c>
      <c r="Y20" s="2">
        <f t="shared" si="0"/>
        <v>16011.826086956522</v>
      </c>
    </row>
    <row r="21" spans="1:25" x14ac:dyDescent="0.25">
      <c r="A21" t="s">
        <v>19</v>
      </c>
      <c r="B21" s="1">
        <v>16249</v>
      </c>
      <c r="C21" s="1">
        <v>16192</v>
      </c>
      <c r="D21" s="1">
        <v>16413</v>
      </c>
      <c r="E21" s="1">
        <v>16254</v>
      </c>
      <c r="F21" s="1">
        <v>15649</v>
      </c>
      <c r="G21" s="1">
        <v>16888</v>
      </c>
      <c r="H21" s="1">
        <v>15694</v>
      </c>
      <c r="I21" s="1">
        <v>14483</v>
      </c>
      <c r="J21" s="1">
        <v>16064</v>
      </c>
      <c r="K21" s="1">
        <v>16590</v>
      </c>
      <c r="L21" s="1">
        <v>15649</v>
      </c>
      <c r="M21" s="1">
        <v>17020</v>
      </c>
      <c r="N21" s="1">
        <v>16899</v>
      </c>
      <c r="O21" s="1">
        <v>15120</v>
      </c>
      <c r="P21" s="1">
        <v>16789</v>
      </c>
      <c r="Q21" s="1">
        <v>16033</v>
      </c>
      <c r="R21" s="1">
        <v>16029</v>
      </c>
      <c r="S21" s="1">
        <v>17036</v>
      </c>
      <c r="T21" s="1">
        <v>16727</v>
      </c>
      <c r="U21" s="1">
        <v>14305</v>
      </c>
      <c r="V21" s="1">
        <v>15057</v>
      </c>
      <c r="W21" s="1">
        <v>16245</v>
      </c>
      <c r="X21" s="1">
        <v>15310</v>
      </c>
      <c r="Y21" s="2">
        <f t="shared" si="0"/>
        <v>16030.217391304348</v>
      </c>
    </row>
    <row r="22" spans="1:25" x14ac:dyDescent="0.25">
      <c r="A22" t="s">
        <v>20</v>
      </c>
      <c r="B22" s="1">
        <v>14167</v>
      </c>
      <c r="C22" s="1">
        <v>16820</v>
      </c>
      <c r="D22" s="1">
        <v>16944</v>
      </c>
      <c r="E22" s="1">
        <v>15022</v>
      </c>
      <c r="F22" s="1">
        <v>15613</v>
      </c>
      <c r="G22" s="1">
        <v>16540</v>
      </c>
      <c r="H22" s="1">
        <v>16053</v>
      </c>
      <c r="I22" s="1">
        <v>15747</v>
      </c>
      <c r="J22" s="1">
        <v>16895</v>
      </c>
      <c r="K22" s="1">
        <v>15095</v>
      </c>
      <c r="L22" s="1">
        <v>16097</v>
      </c>
      <c r="M22" s="1">
        <v>16205</v>
      </c>
      <c r="N22" s="1">
        <v>16622</v>
      </c>
      <c r="O22" s="1">
        <v>16957</v>
      </c>
      <c r="P22" s="1">
        <v>16061</v>
      </c>
      <c r="Q22" s="1">
        <v>15718</v>
      </c>
      <c r="R22" s="1">
        <v>15375</v>
      </c>
      <c r="S22" s="1">
        <v>15543</v>
      </c>
      <c r="T22" s="1">
        <v>14783</v>
      </c>
      <c r="U22" s="1">
        <v>16034</v>
      </c>
      <c r="V22" s="1">
        <v>15706</v>
      </c>
      <c r="W22" s="1">
        <v>15061</v>
      </c>
      <c r="X22" s="1">
        <v>14426</v>
      </c>
      <c r="Y22" s="2">
        <f t="shared" si="0"/>
        <v>15803.652173913044</v>
      </c>
    </row>
    <row r="23" spans="1:25" x14ac:dyDescent="0.25">
      <c r="A23" t="s">
        <v>21</v>
      </c>
      <c r="B23" s="1">
        <v>347412</v>
      </c>
      <c r="C23" s="1">
        <v>346389</v>
      </c>
      <c r="D23" s="1">
        <v>349995</v>
      </c>
      <c r="E23" s="1">
        <v>340595</v>
      </c>
      <c r="F23" s="1">
        <v>344742</v>
      </c>
      <c r="G23" s="1">
        <v>342628</v>
      </c>
      <c r="H23" s="1">
        <v>345650</v>
      </c>
      <c r="I23" s="1">
        <v>347243</v>
      </c>
      <c r="J23" s="1">
        <v>346569</v>
      </c>
      <c r="K23" s="1">
        <v>344077</v>
      </c>
      <c r="L23" s="1">
        <v>337090</v>
      </c>
      <c r="M23" s="1">
        <v>338590</v>
      </c>
      <c r="N23" s="1">
        <v>342621</v>
      </c>
      <c r="O23" s="1">
        <v>340967</v>
      </c>
      <c r="P23" s="1">
        <v>333763</v>
      </c>
      <c r="Q23" s="1">
        <v>331955</v>
      </c>
      <c r="R23" s="1">
        <v>339509</v>
      </c>
      <c r="S23" s="1">
        <v>342579</v>
      </c>
      <c r="T23" s="1">
        <v>325366</v>
      </c>
      <c r="U23" s="1">
        <v>324622</v>
      </c>
      <c r="V23" s="1">
        <v>319231</v>
      </c>
      <c r="W23" s="1">
        <v>319146</v>
      </c>
      <c r="X23" s="1">
        <v>312601</v>
      </c>
      <c r="Y23" s="2">
        <f>AVERAGE(B23:X23)</f>
        <v>337536.52173913043</v>
      </c>
    </row>
    <row r="27" spans="1:25" x14ac:dyDescent="0.25">
      <c r="B27" t="s">
        <v>22</v>
      </c>
      <c r="C27" t="s">
        <v>21</v>
      </c>
    </row>
    <row r="28" spans="1:25" x14ac:dyDescent="0.25">
      <c r="B28">
        <v>2003</v>
      </c>
      <c r="C28" s="1">
        <v>347412</v>
      </c>
    </row>
    <row r="29" spans="1:25" x14ac:dyDescent="0.25">
      <c r="B29">
        <v>2004</v>
      </c>
      <c r="C29" s="1">
        <v>346389</v>
      </c>
    </row>
    <row r="30" spans="1:25" x14ac:dyDescent="0.25">
      <c r="B30">
        <v>2005</v>
      </c>
      <c r="C30" s="1">
        <v>349995</v>
      </c>
    </row>
    <row r="31" spans="1:25" x14ac:dyDescent="0.25">
      <c r="B31">
        <v>2006</v>
      </c>
      <c r="C31" s="1">
        <v>340595</v>
      </c>
    </row>
    <row r="32" spans="1:25" x14ac:dyDescent="0.25">
      <c r="B32">
        <v>2007</v>
      </c>
      <c r="C32" s="1">
        <v>344742</v>
      </c>
    </row>
    <row r="33" spans="2:3" x14ac:dyDescent="0.25">
      <c r="B33">
        <v>2008</v>
      </c>
      <c r="C33" s="1">
        <v>342628</v>
      </c>
    </row>
    <row r="34" spans="2:3" x14ac:dyDescent="0.25">
      <c r="B34">
        <v>2009</v>
      </c>
      <c r="C34" s="1">
        <v>345650</v>
      </c>
    </row>
    <row r="35" spans="2:3" x14ac:dyDescent="0.25">
      <c r="B35">
        <v>2010</v>
      </c>
      <c r="C35" s="1">
        <v>347243</v>
      </c>
    </row>
    <row r="36" spans="2:3" x14ac:dyDescent="0.25">
      <c r="B36">
        <v>2011</v>
      </c>
      <c r="C36" s="1">
        <v>346569</v>
      </c>
    </row>
    <row r="37" spans="2:3" x14ac:dyDescent="0.25">
      <c r="B37">
        <v>2012</v>
      </c>
      <c r="C37" s="1">
        <v>344077</v>
      </c>
    </row>
    <row r="38" spans="2:3" x14ac:dyDescent="0.25">
      <c r="B38">
        <v>2013</v>
      </c>
      <c r="C38" s="1">
        <v>337090</v>
      </c>
    </row>
    <row r="39" spans="2:3" x14ac:dyDescent="0.25">
      <c r="B39">
        <v>2014</v>
      </c>
      <c r="C39" s="1">
        <v>338590</v>
      </c>
    </row>
    <row r="40" spans="2:3" x14ac:dyDescent="0.25">
      <c r="B40">
        <v>2015</v>
      </c>
      <c r="C40" s="1">
        <v>342621</v>
      </c>
    </row>
    <row r="41" spans="2:3" x14ac:dyDescent="0.25">
      <c r="B41">
        <v>2016</v>
      </c>
      <c r="C41" s="1">
        <v>340967</v>
      </c>
    </row>
    <row r="42" spans="2:3" x14ac:dyDescent="0.25">
      <c r="B42">
        <v>2017</v>
      </c>
      <c r="C42" s="1">
        <v>333763</v>
      </c>
    </row>
    <row r="43" spans="2:3" x14ac:dyDescent="0.25">
      <c r="B43">
        <v>2018</v>
      </c>
      <c r="C43" s="1">
        <v>331955</v>
      </c>
    </row>
    <row r="44" spans="2:3" x14ac:dyDescent="0.25">
      <c r="B44">
        <v>2019</v>
      </c>
      <c r="C44" s="1">
        <v>339509</v>
      </c>
    </row>
    <row r="45" spans="2:3" x14ac:dyDescent="0.25">
      <c r="B45">
        <v>2020</v>
      </c>
      <c r="C45" s="1">
        <v>342579</v>
      </c>
    </row>
    <row r="46" spans="2:3" x14ac:dyDescent="0.25">
      <c r="B46">
        <v>2021</v>
      </c>
      <c r="C46" s="1">
        <v>325366</v>
      </c>
    </row>
    <row r="47" spans="2:3" x14ac:dyDescent="0.25">
      <c r="B47">
        <v>2022</v>
      </c>
      <c r="C47" s="1">
        <v>324622</v>
      </c>
    </row>
    <row r="48" spans="2:3" x14ac:dyDescent="0.25">
      <c r="B48">
        <v>2023</v>
      </c>
      <c r="C48" s="1">
        <v>319231</v>
      </c>
    </row>
    <row r="49" spans="2:6" x14ac:dyDescent="0.25">
      <c r="B49">
        <v>2024</v>
      </c>
      <c r="C49" s="1">
        <v>319146</v>
      </c>
    </row>
    <row r="50" spans="2:6" x14ac:dyDescent="0.25">
      <c r="B50">
        <v>2025</v>
      </c>
      <c r="C50" s="1">
        <v>312601</v>
      </c>
    </row>
    <row r="53" spans="2:6" x14ac:dyDescent="0.25">
      <c r="F53" t="s">
        <v>23</v>
      </c>
    </row>
    <row r="54" spans="2:6" x14ac:dyDescent="0.25">
      <c r="F54">
        <v>2021</v>
      </c>
    </row>
    <row r="55" spans="2:6" x14ac:dyDescent="0.25">
      <c r="F55">
        <v>2022</v>
      </c>
    </row>
    <row r="56" spans="2:6" x14ac:dyDescent="0.25">
      <c r="F56">
        <v>2023</v>
      </c>
    </row>
    <row r="57" spans="2:6" x14ac:dyDescent="0.25">
      <c r="F57">
        <v>2024</v>
      </c>
    </row>
    <row r="58" spans="2:6" x14ac:dyDescent="0.25">
      <c r="F58">
        <v>2025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C07E-1579-408A-828F-9969828697CC}">
  <sheetPr codeName="Sheet2"/>
  <dimension ref="A1:H23"/>
  <sheetViews>
    <sheetView tabSelected="1" workbookViewId="0">
      <selection activeCell="J32" sqref="J32"/>
    </sheetView>
  </sheetViews>
  <sheetFormatPr defaultRowHeight="15" x14ac:dyDescent="0.25"/>
  <cols>
    <col min="1" max="1" width="27.140625" customWidth="1"/>
    <col min="8" max="8" width="20.42578125" customWidth="1"/>
  </cols>
  <sheetData>
    <row r="1" spans="1:8" x14ac:dyDescent="0.25">
      <c r="A1" t="s">
        <v>26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 t="s">
        <v>28</v>
      </c>
    </row>
    <row r="2" spans="1:8" x14ac:dyDescent="0.25">
      <c r="A2" t="s">
        <v>0</v>
      </c>
      <c r="B2" s="1">
        <v>19575</v>
      </c>
      <c r="C2" s="1">
        <v>18768</v>
      </c>
      <c r="D2" s="1">
        <v>17507</v>
      </c>
      <c r="E2" s="1">
        <v>19250</v>
      </c>
      <c r="F2" s="1">
        <v>18093</v>
      </c>
      <c r="G2" s="1">
        <v>19047</v>
      </c>
      <c r="H2" s="2">
        <f>AVERAGE(B2:G2)</f>
        <v>18706.666666666668</v>
      </c>
    </row>
    <row r="3" spans="1:8" x14ac:dyDescent="0.25">
      <c r="A3" t="s">
        <v>1</v>
      </c>
      <c r="B3" s="1">
        <v>19000</v>
      </c>
      <c r="C3" s="1">
        <v>20063</v>
      </c>
      <c r="D3" s="1">
        <v>19391</v>
      </c>
      <c r="E3" s="1">
        <v>19451</v>
      </c>
      <c r="F3" s="1">
        <v>18456</v>
      </c>
      <c r="G3" s="1">
        <v>17454</v>
      </c>
      <c r="H3" s="2">
        <f t="shared" ref="H3:H23" si="0">AVERAGE(B3:G3)</f>
        <v>18969.166666666668</v>
      </c>
    </row>
    <row r="4" spans="1:8" x14ac:dyDescent="0.25">
      <c r="A4" t="s">
        <v>2</v>
      </c>
      <c r="B4" s="1">
        <v>17449</v>
      </c>
      <c r="C4" s="1">
        <v>18864</v>
      </c>
      <c r="D4" s="1">
        <v>18379</v>
      </c>
      <c r="E4" s="1">
        <v>16400</v>
      </c>
      <c r="F4" s="1">
        <v>18949</v>
      </c>
      <c r="G4" s="1">
        <v>18248</v>
      </c>
      <c r="H4" s="2">
        <f t="shared" si="0"/>
        <v>18048.166666666668</v>
      </c>
    </row>
    <row r="5" spans="1:8" x14ac:dyDescent="0.25">
      <c r="A5" t="s">
        <v>3</v>
      </c>
      <c r="B5" s="1">
        <v>20539</v>
      </c>
      <c r="C5" s="1">
        <v>19509</v>
      </c>
      <c r="D5" s="1">
        <v>18403</v>
      </c>
      <c r="E5" s="1">
        <v>18542</v>
      </c>
      <c r="F5" s="1">
        <v>18648</v>
      </c>
      <c r="G5" s="1">
        <v>18828</v>
      </c>
      <c r="H5" s="2">
        <f t="shared" si="0"/>
        <v>19078.166666666668</v>
      </c>
    </row>
    <row r="6" spans="1:8" x14ac:dyDescent="0.25">
      <c r="A6" t="s">
        <v>4</v>
      </c>
      <c r="B6" s="1">
        <v>20944</v>
      </c>
      <c r="C6" s="1">
        <v>19332</v>
      </c>
      <c r="D6" s="1">
        <v>20073</v>
      </c>
      <c r="E6" s="1">
        <v>18362</v>
      </c>
      <c r="F6" s="1">
        <v>18465</v>
      </c>
      <c r="G6" s="1">
        <v>18951</v>
      </c>
      <c r="H6" s="2">
        <f t="shared" si="0"/>
        <v>19354.5</v>
      </c>
    </row>
    <row r="7" spans="1:8" x14ac:dyDescent="0.25">
      <c r="A7" t="s">
        <v>5</v>
      </c>
      <c r="B7" s="1">
        <v>20583</v>
      </c>
      <c r="C7" s="1">
        <v>19289</v>
      </c>
      <c r="D7" s="1">
        <v>18773</v>
      </c>
      <c r="E7" s="1">
        <v>19660</v>
      </c>
      <c r="F7" s="1">
        <v>18333</v>
      </c>
      <c r="G7" s="1">
        <v>17949</v>
      </c>
      <c r="H7" s="2">
        <f t="shared" si="0"/>
        <v>19097.833333333332</v>
      </c>
    </row>
    <row r="8" spans="1:8" x14ac:dyDescent="0.25">
      <c r="A8" t="s">
        <v>6</v>
      </c>
      <c r="B8" s="1">
        <v>18661</v>
      </c>
      <c r="C8" s="1">
        <v>19972</v>
      </c>
      <c r="D8" s="1">
        <v>18084</v>
      </c>
      <c r="E8" s="1">
        <v>17631</v>
      </c>
      <c r="F8" s="1">
        <v>17735</v>
      </c>
      <c r="G8" s="1">
        <v>17247</v>
      </c>
      <c r="H8" s="2">
        <f t="shared" si="0"/>
        <v>18221.666666666668</v>
      </c>
    </row>
    <row r="9" spans="1:8" x14ac:dyDescent="0.25">
      <c r="A9" t="s">
        <v>7</v>
      </c>
      <c r="B9" s="1">
        <v>13819</v>
      </c>
      <c r="C9" s="1">
        <v>11902</v>
      </c>
      <c r="D9" s="1">
        <v>12179</v>
      </c>
      <c r="E9" s="1">
        <v>12500</v>
      </c>
      <c r="F9" s="1">
        <v>11870</v>
      </c>
      <c r="G9" s="1">
        <v>11005</v>
      </c>
      <c r="H9" s="2">
        <f t="shared" si="0"/>
        <v>12212.5</v>
      </c>
    </row>
    <row r="10" spans="1:8" x14ac:dyDescent="0.25">
      <c r="A10" t="s">
        <v>8</v>
      </c>
      <c r="B10" s="1">
        <v>13298</v>
      </c>
      <c r="C10" s="1">
        <v>12620</v>
      </c>
      <c r="D10" s="1">
        <v>12664</v>
      </c>
      <c r="E10" s="1">
        <v>11590</v>
      </c>
      <c r="F10" s="1">
        <v>12280</v>
      </c>
      <c r="G10" s="1">
        <v>11341</v>
      </c>
      <c r="H10" s="2">
        <f t="shared" si="0"/>
        <v>12298.833333333334</v>
      </c>
    </row>
    <row r="11" spans="1:8" x14ac:dyDescent="0.25">
      <c r="A11" t="s">
        <v>9</v>
      </c>
      <c r="B11" s="1">
        <v>13463</v>
      </c>
      <c r="C11" s="1">
        <v>11840</v>
      </c>
      <c r="D11" s="1">
        <v>11403</v>
      </c>
      <c r="E11" s="1">
        <v>10410</v>
      </c>
      <c r="F11" s="1">
        <v>11757</v>
      </c>
      <c r="G11" s="1">
        <v>12544</v>
      </c>
      <c r="H11" s="2">
        <f t="shared" si="0"/>
        <v>11902.833333333334</v>
      </c>
    </row>
    <row r="12" spans="1:8" x14ac:dyDescent="0.25">
      <c r="A12" t="s">
        <v>10</v>
      </c>
      <c r="B12" s="1">
        <v>12666</v>
      </c>
      <c r="C12" s="1">
        <v>12119</v>
      </c>
      <c r="D12" s="1">
        <v>11393</v>
      </c>
      <c r="E12" s="1">
        <v>12257</v>
      </c>
      <c r="F12" s="1">
        <v>12808</v>
      </c>
      <c r="G12" s="1">
        <v>11536</v>
      </c>
      <c r="H12" s="2">
        <f t="shared" si="0"/>
        <v>12129.833333333334</v>
      </c>
    </row>
    <row r="13" spans="1:8" x14ac:dyDescent="0.25">
      <c r="A13" t="s">
        <v>11</v>
      </c>
      <c r="B13" s="1">
        <v>13136</v>
      </c>
      <c r="C13" s="1">
        <v>11893</v>
      </c>
      <c r="D13" s="1">
        <v>12976</v>
      </c>
      <c r="E13" s="1">
        <v>11284</v>
      </c>
      <c r="F13" s="1">
        <v>12220</v>
      </c>
      <c r="G13" s="1">
        <v>10879</v>
      </c>
      <c r="H13" s="2">
        <f t="shared" si="0"/>
        <v>12064.666666666666</v>
      </c>
    </row>
    <row r="14" spans="1:8" x14ac:dyDescent="0.25">
      <c r="A14" t="s">
        <v>12</v>
      </c>
      <c r="B14" s="1">
        <v>13035</v>
      </c>
      <c r="C14" s="1">
        <v>10878</v>
      </c>
      <c r="D14" s="1">
        <v>12477</v>
      </c>
      <c r="E14" s="1">
        <v>10694</v>
      </c>
      <c r="F14" s="1">
        <v>12594</v>
      </c>
      <c r="G14" s="1">
        <v>11063</v>
      </c>
      <c r="H14" s="2">
        <f t="shared" si="0"/>
        <v>11790.166666666666</v>
      </c>
    </row>
    <row r="15" spans="1:8" x14ac:dyDescent="0.25">
      <c r="A15" t="s">
        <v>13</v>
      </c>
      <c r="B15" s="1">
        <v>13452</v>
      </c>
      <c r="C15" s="1">
        <v>10879</v>
      </c>
      <c r="D15" s="1">
        <v>12363</v>
      </c>
      <c r="E15" s="1">
        <v>11598</v>
      </c>
      <c r="F15" s="1">
        <v>11577</v>
      </c>
      <c r="G15" s="1">
        <v>11807</v>
      </c>
      <c r="H15" s="2">
        <f t="shared" si="0"/>
        <v>11946</v>
      </c>
    </row>
    <row r="16" spans="1:8" x14ac:dyDescent="0.25">
      <c r="A16" t="s">
        <v>14</v>
      </c>
      <c r="B16" s="1">
        <v>15674</v>
      </c>
      <c r="C16" s="1">
        <v>15386</v>
      </c>
      <c r="D16" s="1">
        <v>15581</v>
      </c>
      <c r="E16" s="1">
        <v>15482</v>
      </c>
      <c r="F16" s="1">
        <v>15330</v>
      </c>
      <c r="G16" s="1">
        <v>15364</v>
      </c>
      <c r="H16" s="2">
        <f t="shared" si="0"/>
        <v>15469.5</v>
      </c>
    </row>
    <row r="17" spans="1:8" x14ac:dyDescent="0.25">
      <c r="A17" t="s">
        <v>15</v>
      </c>
      <c r="B17" s="1">
        <v>16711</v>
      </c>
      <c r="C17" s="1">
        <v>14391</v>
      </c>
      <c r="D17" s="1">
        <v>15627</v>
      </c>
      <c r="E17" s="1">
        <v>15732</v>
      </c>
      <c r="F17" s="1">
        <v>14910</v>
      </c>
      <c r="G17" s="1">
        <v>14535</v>
      </c>
      <c r="H17" s="2">
        <f t="shared" si="0"/>
        <v>15317.666666666666</v>
      </c>
    </row>
    <row r="18" spans="1:8" x14ac:dyDescent="0.25">
      <c r="A18" t="s">
        <v>16</v>
      </c>
      <c r="B18" s="1">
        <v>16588</v>
      </c>
      <c r="C18" s="1">
        <v>16621</v>
      </c>
      <c r="D18" s="1">
        <v>15762</v>
      </c>
      <c r="E18" s="1">
        <v>14335</v>
      </c>
      <c r="F18" s="1">
        <v>14796</v>
      </c>
      <c r="G18" s="1">
        <v>15065</v>
      </c>
      <c r="H18" s="2">
        <f t="shared" si="0"/>
        <v>15527.833333333334</v>
      </c>
    </row>
    <row r="19" spans="1:8" x14ac:dyDescent="0.25">
      <c r="A19" t="s">
        <v>17</v>
      </c>
      <c r="B19" s="1">
        <v>15154</v>
      </c>
      <c r="C19" s="1">
        <v>15654</v>
      </c>
      <c r="D19" s="1">
        <v>16006</v>
      </c>
      <c r="E19" s="1">
        <v>16294</v>
      </c>
      <c r="F19" s="1">
        <v>14160</v>
      </c>
      <c r="G19" s="1">
        <v>15865</v>
      </c>
      <c r="H19" s="2">
        <f t="shared" si="0"/>
        <v>15522.166666666666</v>
      </c>
    </row>
    <row r="20" spans="1:8" x14ac:dyDescent="0.25">
      <c r="A20" t="s">
        <v>18</v>
      </c>
      <c r="B20" s="1">
        <v>16253</v>
      </c>
      <c r="C20" s="1">
        <v>13876</v>
      </c>
      <c r="D20" s="1">
        <v>15242</v>
      </c>
      <c r="E20" s="1">
        <v>16996</v>
      </c>
      <c r="F20" s="1">
        <v>14859</v>
      </c>
      <c r="G20" s="1">
        <v>14137</v>
      </c>
      <c r="H20" s="2">
        <f t="shared" si="0"/>
        <v>15227.166666666666</v>
      </c>
    </row>
    <row r="21" spans="1:8" x14ac:dyDescent="0.25">
      <c r="A21" t="s">
        <v>19</v>
      </c>
      <c r="B21" s="1">
        <v>17036</v>
      </c>
      <c r="C21" s="1">
        <v>16727</v>
      </c>
      <c r="D21" s="1">
        <v>14305</v>
      </c>
      <c r="E21" s="1">
        <v>15057</v>
      </c>
      <c r="F21" s="1">
        <v>16245</v>
      </c>
      <c r="G21" s="1">
        <v>15310</v>
      </c>
      <c r="H21" s="2">
        <f t="shared" si="0"/>
        <v>15780</v>
      </c>
    </row>
    <row r="22" spans="1:8" x14ac:dyDescent="0.25">
      <c r="A22" t="s">
        <v>20</v>
      </c>
      <c r="B22" s="1">
        <v>15543</v>
      </c>
      <c r="C22" s="1">
        <v>14783</v>
      </c>
      <c r="D22" s="1">
        <v>16034</v>
      </c>
      <c r="E22" s="1">
        <v>15706</v>
      </c>
      <c r="F22" s="1">
        <v>15061</v>
      </c>
      <c r="G22" s="1">
        <v>14426</v>
      </c>
      <c r="H22" s="2">
        <f t="shared" si="0"/>
        <v>15258.833333333334</v>
      </c>
    </row>
    <row r="23" spans="1:8" x14ac:dyDescent="0.25">
      <c r="A23" t="s">
        <v>27</v>
      </c>
      <c r="B23" s="1">
        <v>342579</v>
      </c>
      <c r="C23" s="1">
        <v>325366</v>
      </c>
      <c r="D23" s="1">
        <v>324622</v>
      </c>
      <c r="E23" s="1">
        <v>319231</v>
      </c>
      <c r="F23" s="1">
        <v>319146</v>
      </c>
      <c r="G23" s="1">
        <v>312601</v>
      </c>
      <c r="H23" s="2">
        <f t="shared" si="0"/>
        <v>323924.16666666669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CED1A338C294FB839044B3261CE72" ma:contentTypeVersion="16" ma:contentTypeDescription="Create a new document." ma:contentTypeScope="" ma:versionID="bc0edf076d56e636141d1dc9e4be5efd">
  <xsd:schema xmlns:xsd="http://www.w3.org/2001/XMLSchema" xmlns:xs="http://www.w3.org/2001/XMLSchema" xmlns:p="http://schemas.microsoft.com/office/2006/metadata/properties" xmlns:ns3="53b4e0c9-def2-4e21-a406-574a5e698391" xmlns:ns4="34af18ce-785a-4dc4-8ed2-e448460574e5" targetNamespace="http://schemas.microsoft.com/office/2006/metadata/properties" ma:root="true" ma:fieldsID="53c2681875f727a5542c566a58254c87" ns3:_="" ns4:_="">
    <xsd:import namespace="53b4e0c9-def2-4e21-a406-574a5e698391"/>
    <xsd:import namespace="34af18ce-785a-4dc4-8ed2-e448460574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4e0c9-def2-4e21-a406-574a5e698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f18ce-785a-4dc4-8ed2-e448460574e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b4e0c9-def2-4e21-a406-574a5e698391" xsi:nil="true"/>
  </documentManagement>
</p:properties>
</file>

<file path=customXml/itemProps1.xml><?xml version="1.0" encoding="utf-8"?>
<ds:datastoreItem xmlns:ds="http://schemas.openxmlformats.org/officeDocument/2006/customXml" ds:itemID="{DD08A157-FD78-4FE2-BE3E-D1A4ACBA0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9AAA9D-E684-421B-92A5-468AE8A63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4e0c9-def2-4e21-a406-574a5e698391"/>
    <ds:schemaRef ds:uri="34af18ce-785a-4dc4-8ed2-e448460574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445FB4-DBF4-4E19-84F7-2A806DEB55CE}">
  <ds:schemaRefs>
    <ds:schemaRef ds:uri="http://schemas.openxmlformats.org/package/2006/metadata/core-properties"/>
    <ds:schemaRef ds:uri="53b4e0c9-def2-4e21-a406-574a5e698391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34af18ce-785a-4dc4-8ed2-e448460574e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beans_area_ha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DUSHIME</dc:creator>
  <cp:lastModifiedBy>Jean Claude Dushime</cp:lastModifiedBy>
  <dcterms:created xsi:type="dcterms:W3CDTF">2025-10-07T13:43:28Z</dcterms:created>
  <dcterms:modified xsi:type="dcterms:W3CDTF">2025-11-13T19:05:07Z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0x010100D4DCED1A338C294FB839044B3261CE72</vt:lpwstr>
  </property>
</Properties>
</file>