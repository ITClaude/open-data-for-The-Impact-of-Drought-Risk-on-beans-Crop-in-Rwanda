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 Claude DUSHIME\Documents\Research papers developments\Data for droughts on beans\"/>
    </mc:Choice>
  </mc:AlternateContent>
  <xr:revisionPtr revIDLastSave="0" documentId="13_ncr:1_{D5538F1A-E428-4C1E-9C2A-C348446C6A5E}" xr6:coauthVersionLast="47" xr6:coauthVersionMax="47" xr10:uidLastSave="{00000000-0000-0000-0000-000000000000}"/>
  <bookViews>
    <workbookView xWindow="-120" yWindow="-120" windowWidth="38640" windowHeight="21120" activeTab="1" xr2:uid="{33ABC3C8-A735-4DB2-A7F9-D7C754FDF113}"/>
  </bookViews>
  <sheets>
    <sheet name="economic_loss_calculation_summa" sheetId="1" r:id="rId1"/>
    <sheet name="Analysis v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2" l="1"/>
  <c r="J39" i="2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G36" i="2"/>
  <c r="J36" i="2" s="1"/>
  <c r="G38" i="2"/>
  <c r="J38" i="2" s="1"/>
  <c r="G40" i="2"/>
  <c r="J40" i="2" s="1"/>
  <c r="G41" i="2"/>
  <c r="J41" i="2" s="1"/>
  <c r="G42" i="2"/>
  <c r="J42" i="2" s="1"/>
  <c r="G43" i="2"/>
  <c r="J43" i="2" s="1"/>
  <c r="G44" i="2"/>
  <c r="J44" i="2" s="1"/>
  <c r="G45" i="2"/>
  <c r="J45" i="2" s="1"/>
  <c r="G46" i="2"/>
  <c r="J46" i="2" s="1"/>
  <c r="G47" i="2"/>
  <c r="J47" i="2" s="1"/>
  <c r="G48" i="2"/>
  <c r="J48" i="2" s="1"/>
  <c r="G25" i="2"/>
  <c r="J25" i="2" s="1"/>
  <c r="K25" i="2" s="1"/>
  <c r="E48" i="2"/>
  <c r="I48" i="2" s="1"/>
  <c r="E26" i="2"/>
  <c r="I26" i="2" s="1"/>
  <c r="E27" i="2"/>
  <c r="I27" i="2" s="1"/>
  <c r="E28" i="2"/>
  <c r="I28" i="2" s="1"/>
  <c r="E29" i="2"/>
  <c r="I29" i="2" s="1"/>
  <c r="E30" i="2"/>
  <c r="I30" i="2" s="1"/>
  <c r="E31" i="2"/>
  <c r="I31" i="2" s="1"/>
  <c r="E32" i="2"/>
  <c r="I32" i="2" s="1"/>
  <c r="E33" i="2"/>
  <c r="I33" i="2" s="1"/>
  <c r="E34" i="2"/>
  <c r="I34" i="2" s="1"/>
  <c r="E35" i="2"/>
  <c r="I35" i="2" s="1"/>
  <c r="E36" i="2"/>
  <c r="I36" i="2" s="1"/>
  <c r="E38" i="2"/>
  <c r="I38" i="2" s="1"/>
  <c r="E39" i="2"/>
  <c r="I39" i="2" s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25" i="2"/>
  <c r="I25" i="2" s="1"/>
  <c r="K47" i="2" l="1"/>
  <c r="K39" i="2"/>
  <c r="K31" i="2"/>
  <c r="K30" i="2"/>
  <c r="K29" i="2"/>
  <c r="K36" i="2"/>
  <c r="K35" i="2"/>
  <c r="K34" i="2"/>
  <c r="K33" i="2"/>
  <c r="K32" i="2"/>
  <c r="K46" i="2"/>
  <c r="K45" i="2"/>
  <c r="K44" i="2"/>
  <c r="K43" i="2"/>
  <c r="K42" i="2"/>
  <c r="K41" i="2"/>
  <c r="K40" i="2"/>
  <c r="K38" i="2"/>
  <c r="K48" i="2"/>
  <c r="K28" i="2"/>
  <c r="K27" i="2"/>
  <c r="K26" i="2"/>
  <c r="K49" i="2" l="1"/>
</calcChain>
</file>

<file path=xl/sharedStrings.xml><?xml version="1.0" encoding="utf-8"?>
<sst xmlns="http://schemas.openxmlformats.org/spreadsheetml/2006/main" count="28" uniqueCount="19">
  <si>
    <t>Unit_Price_USD_per_ton</t>
  </si>
  <si>
    <t>Potential_Yield_t_ha</t>
  </si>
  <si>
    <t>Actual_Production_tons</t>
  </si>
  <si>
    <t>Potential_Production_tons</t>
  </si>
  <si>
    <t>Actual_Value_USD</t>
  </si>
  <si>
    <t>Potential_Value_USD</t>
  </si>
  <si>
    <t>Annual_Loss_USD</t>
  </si>
  <si>
    <t>Years</t>
  </si>
  <si>
    <t>YieldPeak</t>
  </si>
  <si>
    <t>Potential Production (PPotential​): PPotential​(Year)=National Total Area(Year)×YieldPeak​</t>
  </si>
  <si>
    <t>Actual Rwanda_National_Average_Yield (t/ha)</t>
  </si>
  <si>
    <t>Rwanda_National_Total_Area (ha)</t>
  </si>
  <si>
    <r>
      <t>Baseline/Counterfactual Yield (YieldPeak​):</t>
    </r>
    <r>
      <rPr>
        <sz val="11"/>
        <color theme="1"/>
        <rFont val="Aptos Narrow"/>
        <family val="2"/>
        <scheme val="minor"/>
      </rPr>
      <t xml:space="preserve"> The National Average Yield from 2014, which was </t>
    </r>
    <r>
      <rPr>
        <b/>
        <sz val="11"/>
        <color theme="1"/>
        <rFont val="Aptos Narrow"/>
        <family val="2"/>
        <scheme val="minor"/>
      </rPr>
      <t>1.42 t/ha</t>
    </r>
    <r>
      <rPr>
        <sz val="11"/>
        <color theme="1"/>
        <rFont val="Aptos Narrow"/>
        <family val="2"/>
        <scheme val="minor"/>
      </rPr>
      <t xml:space="preserve">, was used as the consistent potential yield that </t>
    </r>
    <r>
      <rPr>
        <i/>
        <sz val="11"/>
        <color theme="1"/>
        <rFont val="Aptos Narrow"/>
        <family val="2"/>
        <scheme val="minor"/>
      </rPr>
      <t>could</t>
    </r>
    <r>
      <rPr>
        <sz val="11"/>
        <color theme="1"/>
        <rFont val="Aptos Narrow"/>
        <family val="2"/>
        <scheme val="minor"/>
      </rPr>
      <t xml:space="preserve"> have been achieved in subsequent years without the severe effects of drought.</t>
    </r>
  </si>
  <si>
    <r>
      <t>Potential Production (PPotential​):</t>
    </r>
    <r>
      <rPr>
        <sz val="11"/>
        <color theme="1"/>
        <rFont val="Aptos Narrow"/>
        <family val="2"/>
        <scheme val="minor"/>
      </rPr>
      <t xml:space="preserve"> PPotential​(Year)=National Total Area(Year)×YieldPeak​</t>
    </r>
  </si>
  <si>
    <r>
      <t>Potential Value (ValuePotential​):</t>
    </r>
    <r>
      <rPr>
        <sz val="11"/>
        <color theme="1"/>
        <rFont val="Aptos Narrow"/>
        <family val="2"/>
        <scheme val="minor"/>
      </rPr>
      <t xml:space="preserve"> ValuePotential​(Year)=PPotential​(Year)×Unit Price(Year)</t>
    </r>
  </si>
  <si>
    <r>
      <t>Actual Value (ValueActual​):</t>
    </r>
    <r>
      <rPr>
        <sz val="11"/>
        <color theme="1"/>
        <rFont val="Aptos Narrow"/>
        <family val="2"/>
        <scheme val="minor"/>
      </rPr>
      <t xml:space="preserve"> ValueActual​(Year)=Actual National Production(Year)×Unit Price(Year)</t>
    </r>
  </si>
  <si>
    <r>
      <t>Annual Loss:</t>
    </r>
    <r>
      <rPr>
        <sz val="11"/>
        <color theme="1"/>
        <rFont val="Aptos Narrow"/>
        <family val="2"/>
        <scheme val="minor"/>
      </rPr>
      <t xml:space="preserve"> Annual Loss(Year)=ValuePotential​(Year)−ValueActual​(Year)</t>
    </r>
  </si>
  <si>
    <r>
      <t>Cumulative Loss (2015-2025):</t>
    </r>
    <r>
      <rPr>
        <sz val="11"/>
        <color theme="1"/>
        <rFont val="Aptos Narrow"/>
        <family val="2"/>
        <scheme val="minor"/>
      </rPr>
      <t xml:space="preserve"> ∑y=20152025​Annual Loss(y)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</si>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</sst>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16" fillId="0" borderId="0" xfId="0" applyFont="1"/>
    <xf numFmtId="43" fontId="0" fillId="0" borderId="0" xfId="1" applyNumberFormat="1" applyFont="1"/>
    <xf numFmtId="43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38670166229221"/>
          <c:y val="0.19486111111111112"/>
          <c:w val="0.76661329833770775"/>
          <c:h val="0.72125801983085447"/>
        </c:manualLayout>
      </c:layout>
      <c:areaChart>
        <c:grouping val="stacked"/>
        <c:varyColors val="0"/>
        <c:ser>
          <c:idx val="0"/>
          <c:order val="0"/>
          <c:tx>
            <c:strRef>
              <c:f>'Analysis v1'!$D$56</c:f>
              <c:strCache>
                <c:ptCount val="1"/>
                <c:pt idx="0">
                  <c:v>Annual_Loss_USD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'Analysis v1'!$C$57:$C$67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'Analysis v1'!$D$57:$D$67</c:f>
              <c:numCache>
                <c:formatCode>_-* #,##0_-;\-* #,##0_-;_-* "-"??_-;_-@_-</c:formatCode>
                <c:ptCount val="11"/>
                <c:pt idx="0">
                  <c:v>17295508.079999924</c:v>
                </c:pt>
                <c:pt idx="1">
                  <c:v>107745571.99999994</c:v>
                </c:pt>
                <c:pt idx="2">
                  <c:v>38349368.699999928</c:v>
                </c:pt>
                <c:pt idx="3">
                  <c:v>45743399</c:v>
                </c:pt>
                <c:pt idx="4">
                  <c:v>44961176.869999945</c:v>
                </c:pt>
                <c:pt idx="5">
                  <c:v>126809042.64000002</c:v>
                </c:pt>
                <c:pt idx="6">
                  <c:v>90110113.699999988</c:v>
                </c:pt>
                <c:pt idx="7">
                  <c:v>143366060.07999998</c:v>
                </c:pt>
                <c:pt idx="8">
                  <c:v>87679986.459999919</c:v>
                </c:pt>
                <c:pt idx="9">
                  <c:v>158018758.97999996</c:v>
                </c:pt>
                <c:pt idx="10">
                  <c:v>196929251.97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613-B048-F3B6F0A9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14591"/>
        <c:axId val="1791115071"/>
      </c:areaChart>
      <c:catAx>
        <c:axId val="1791114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15071"/>
        <c:crosses val="autoZero"/>
        <c:auto val="1"/>
        <c:lblAlgn val="ctr"/>
        <c:lblOffset val="100"/>
        <c:noMultiLvlLbl val="0"/>
      </c:catAx>
      <c:valAx>
        <c:axId val="17911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1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28576</xdr:colOff>
      <xdr:row>51</xdr:row>
      <xdr:rowOff>33335</xdr:rowOff>
    </xdr:from>
    <xdr:to>
      <xdr:col>15</xdr:col>
      <xdr:colOff>600076</xdr:colOff>
      <xdr:row>77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1799E-FD87-6770-C80D-140DD9044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FD250-9493-4587-8B2B-06AD092C7499}" name="Table1" displayName="Table1" ref="A1:H24" totalsRowShown="0">
  <autoFilter ref="A1:H24" xr:uid="{140FD250-9493-4587-8B2B-06AD092C7499}"/>
  <tableColumns count="8">
    <tableColumn id="1" xr3:uid="{7677BC83-36A9-4467-9364-8A579326150E}" name="Years"/>
    <tableColumn id="2" xr3:uid="{E3D05F68-CCA4-4703-82C2-44CB982AFC5E}" name="Unit_Price_USD_per_ton" dataDxfId="13" dataCellStyle="Comma"/>
    <tableColumn id="3" xr3:uid="{54830839-4A81-4601-94A3-305EF7A1F946}" name="Potential_Yield_t_ha" dataDxfId="12" dataCellStyle="Comma"/>
    <tableColumn id="4" xr3:uid="{65E77486-F6FC-44D2-BD05-8288E5F03E76}" name="Actual_Production_tons" dataDxfId="11" dataCellStyle="Comma"/>
    <tableColumn id="5" xr3:uid="{5D7CB7B7-0AC1-48D1-8AE5-6BCEAA840977}" name="Potential_Production_tons" dataDxfId="10" dataCellStyle="Comma"/>
    <tableColumn id="6" xr3:uid="{C195F7E4-1B1A-444C-A674-0E026963A768}" name="Actual_Value_USD" dataDxfId="9" dataCellStyle="Comma"/>
    <tableColumn id="7" xr3:uid="{3521E890-1C2A-4D64-86F5-2C9AF07A652D}" name="Potential_Value_USD" dataDxfId="8" dataCellStyle="Comma"/>
    <tableColumn id="8" xr3:uid="{75181856-B291-4923-9948-1AC381CE02DE}" name="Annual_Loss_USD" dataDxfId="7" dataCellStyle="Comm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7D62EB-B704-4017-9B34-54AD676CEEA1}" name="Table3" displayName="Table3" ref="B24:K49" totalsRowShown="0">
  <autoFilter ref="B24:K49" xr:uid="{357D62EB-B704-4017-9B34-54AD676CEEA1}"/>
  <tableColumns count="10">
    <tableColumn id="1" xr3:uid="{6374C337-5A6C-443E-A994-3B6516FF1859}" name="Years"/>
    <tableColumn id="2" xr3:uid="{CABFBD72-B105-4F71-8CE8-3DA4E9DDF7CE}" name="Rwanda_National_Total_Area (ha)" dataDxfId="6" dataCellStyle="Comma"/>
    <tableColumn id="3" xr3:uid="{7867D5C2-B2FD-4158-8D4C-2A88CED8DD0E}" name="Actual Rwanda_National_Average_Yield (t/ha)" dataDxfId="5" dataCellStyle="Comma"/>
    <tableColumn id="4" xr3:uid="{C0BCB413-9147-4B2F-AD8D-7C113CC5552C}" name="Actual_Production_tons" dataDxfId="4" dataCellStyle="Comma"/>
    <tableColumn id="5" xr3:uid="{CD16FF65-502C-486A-9F45-09A9E3E9EB40}" name="YieldPeak"/>
    <tableColumn id="6" xr3:uid="{29961D52-DF02-43C0-B255-87A11E0449DA}" name="Potential_Production_tons" dataDxfId="3"/>
    <tableColumn id="7" xr3:uid="{1C6F2751-64FB-4242-A905-23517F618931}" name="Unit_Price_USD_per_ton"/>
    <tableColumn id="8" xr3:uid="{294AD471-6DCE-4413-9742-CA4ED0812427}" name="Actual_Value_USD" dataDxfId="2"/>
    <tableColumn id="9" xr3:uid="{D800CAEF-EB57-4F25-970F-CA4220F1800F}" name="Potential_Value_USD" dataDxfId="1"/>
    <tableColumn id="10" xr3:uid="{DC06C986-D6B8-4607-A469-3F28B22F3076}" name="Annual_Loss_US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5BA2-3665-4936-84DC-02C7753CA814}">
  <dimension ref="A1:K24"/>
  <sheetViews>
    <sheetView topLeftCell="A13" workbookViewId="0">
      <selection sqref="A1:H24"/>
    </sheetView>
  </sheetViews>
  <sheetFormatPr defaultRowHeight="15" x14ac:dyDescent="0.25"/>
  <cols>
    <col min="1" max="1" width="13.140625" customWidth="1"/>
    <col min="2" max="2" width="28.85546875" customWidth="1"/>
    <col min="3" max="3" width="36.5703125" customWidth="1"/>
    <col min="4" max="4" width="30.42578125" customWidth="1"/>
    <col min="5" max="5" width="33.5703125" customWidth="1"/>
    <col min="6" max="6" width="30.42578125" customWidth="1"/>
    <col min="7" max="7" width="29.42578125" customWidth="1"/>
    <col min="8" max="8" width="37.140625" customWidth="1"/>
    <col min="11" max="11" width="11.5703125" bestFit="1" customWidth="1"/>
  </cols>
  <sheetData>
    <row r="1" spans="1:11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 x14ac:dyDescent="0.25">
      <c r="A2">
        <v>2003</v>
      </c>
      <c r="B2" s="1">
        <v>447</v>
      </c>
      <c r="C2" s="1">
        <v>1</v>
      </c>
      <c r="D2" s="1">
        <v>443824</v>
      </c>
      <c r="E2" s="1">
        <v>493325</v>
      </c>
      <c r="F2" s="1">
        <v>198389493</v>
      </c>
      <c r="G2" s="1">
        <v>220516293</v>
      </c>
      <c r="H2" s="1">
        <v>22126799</v>
      </c>
      <c r="K2" s="2"/>
    </row>
    <row r="3" spans="1:11" x14ac:dyDescent="0.25">
      <c r="A3">
        <v>2004</v>
      </c>
      <c r="B3" s="1">
        <v>495</v>
      </c>
      <c r="C3" s="1">
        <v>1</v>
      </c>
      <c r="D3" s="1">
        <v>428844</v>
      </c>
      <c r="E3" s="1">
        <v>491872</v>
      </c>
      <c r="F3" s="1">
        <v>212277963</v>
      </c>
      <c r="G3" s="1">
        <v>243476828</v>
      </c>
      <c r="H3" s="1">
        <v>31198865</v>
      </c>
    </row>
    <row r="4" spans="1:11" x14ac:dyDescent="0.25">
      <c r="A4">
        <v>2005</v>
      </c>
      <c r="B4" s="1">
        <v>494</v>
      </c>
      <c r="C4" s="1">
        <v>1</v>
      </c>
      <c r="D4" s="1">
        <v>320314</v>
      </c>
      <c r="E4" s="1">
        <v>496993</v>
      </c>
      <c r="F4" s="1">
        <v>158235284</v>
      </c>
      <c r="G4" s="1">
        <v>245514493</v>
      </c>
      <c r="H4" s="1">
        <v>87279209</v>
      </c>
    </row>
    <row r="5" spans="1:11" x14ac:dyDescent="0.25">
      <c r="A5">
        <v>2006</v>
      </c>
      <c r="B5" s="1">
        <v>616</v>
      </c>
      <c r="C5" s="1">
        <v>1</v>
      </c>
      <c r="D5" s="1">
        <v>444605</v>
      </c>
      <c r="E5" s="1">
        <v>483645</v>
      </c>
      <c r="F5" s="1">
        <v>273876840</v>
      </c>
      <c r="G5" s="1">
        <v>297925258</v>
      </c>
      <c r="H5" s="1">
        <v>24048418</v>
      </c>
    </row>
    <row r="6" spans="1:11" x14ac:dyDescent="0.25">
      <c r="A6">
        <v>2007</v>
      </c>
      <c r="B6" s="1">
        <v>503</v>
      </c>
      <c r="C6" s="1">
        <v>1</v>
      </c>
      <c r="D6" s="1">
        <v>317325</v>
      </c>
      <c r="E6" s="1">
        <v>489534</v>
      </c>
      <c r="F6" s="1">
        <v>159614334</v>
      </c>
      <c r="G6" s="1">
        <v>246235421</v>
      </c>
      <c r="H6" s="1">
        <v>86621087</v>
      </c>
    </row>
    <row r="7" spans="1:11" x14ac:dyDescent="0.25">
      <c r="A7">
        <v>2008</v>
      </c>
      <c r="B7" s="1">
        <v>614</v>
      </c>
      <c r="C7" s="1">
        <v>1</v>
      </c>
      <c r="D7" s="1">
        <v>445389</v>
      </c>
      <c r="E7" s="1">
        <v>486532</v>
      </c>
      <c r="F7" s="1">
        <v>273469079</v>
      </c>
      <c r="G7" s="1">
        <v>298730501</v>
      </c>
      <c r="H7" s="1">
        <v>25261421</v>
      </c>
    </row>
    <row r="8" spans="1:11" x14ac:dyDescent="0.25">
      <c r="A8">
        <v>2009</v>
      </c>
      <c r="B8" s="1">
        <v>585</v>
      </c>
      <c r="C8" s="1">
        <v>1</v>
      </c>
      <c r="D8" s="1">
        <v>447100</v>
      </c>
      <c r="E8" s="1">
        <v>490823</v>
      </c>
      <c r="F8" s="1">
        <v>261553734</v>
      </c>
      <c r="G8" s="1">
        <v>287131455</v>
      </c>
      <c r="H8" s="1">
        <v>25577721</v>
      </c>
    </row>
    <row r="9" spans="1:11" x14ac:dyDescent="0.25">
      <c r="A9">
        <v>2010</v>
      </c>
      <c r="B9" s="1">
        <v>612</v>
      </c>
      <c r="C9" s="1">
        <v>1</v>
      </c>
      <c r="D9" s="1">
        <v>467295</v>
      </c>
      <c r="E9" s="1">
        <v>493085</v>
      </c>
      <c r="F9" s="1">
        <v>285984424</v>
      </c>
      <c r="G9" s="1">
        <v>301768057</v>
      </c>
      <c r="H9" s="1">
        <v>15783633</v>
      </c>
    </row>
    <row r="10" spans="1:11" x14ac:dyDescent="0.25">
      <c r="A10">
        <v>2011</v>
      </c>
      <c r="B10" s="1">
        <v>599</v>
      </c>
      <c r="C10" s="1">
        <v>1</v>
      </c>
      <c r="D10" s="1">
        <v>475938</v>
      </c>
      <c r="E10" s="1">
        <v>492128</v>
      </c>
      <c r="F10" s="1">
        <v>285086766</v>
      </c>
      <c r="G10" s="1">
        <v>294784660</v>
      </c>
      <c r="H10" s="1">
        <v>9697894</v>
      </c>
    </row>
    <row r="11" spans="1:11" x14ac:dyDescent="0.25">
      <c r="A11">
        <v>2012</v>
      </c>
      <c r="B11" s="1">
        <v>579</v>
      </c>
      <c r="C11" s="1">
        <v>1</v>
      </c>
      <c r="D11" s="1">
        <v>346812</v>
      </c>
      <c r="E11" s="1">
        <v>488589</v>
      </c>
      <c r="F11" s="1">
        <v>200804264</v>
      </c>
      <c r="G11" s="1">
        <v>282893228</v>
      </c>
      <c r="H11" s="1">
        <v>82088964</v>
      </c>
    </row>
    <row r="12" spans="1:11" x14ac:dyDescent="0.25">
      <c r="A12">
        <v>2013</v>
      </c>
      <c r="B12" s="1">
        <v>733</v>
      </c>
      <c r="C12" s="1">
        <v>1</v>
      </c>
      <c r="D12" s="1">
        <v>480807</v>
      </c>
      <c r="E12" s="1">
        <v>478668</v>
      </c>
      <c r="F12" s="1">
        <v>352431333</v>
      </c>
      <c r="G12" s="1">
        <v>350863497</v>
      </c>
      <c r="H12" s="1">
        <v>-1567836</v>
      </c>
    </row>
    <row r="13" spans="1:11" x14ac:dyDescent="0.25">
      <c r="A13">
        <v>2014</v>
      </c>
      <c r="B13" s="1">
        <v>630</v>
      </c>
      <c r="C13" s="1">
        <v>1</v>
      </c>
      <c r="D13" s="1">
        <v>494381</v>
      </c>
      <c r="E13" s="1">
        <v>480798</v>
      </c>
      <c r="F13" s="1">
        <v>311460150</v>
      </c>
      <c r="G13" s="1">
        <v>302902614</v>
      </c>
      <c r="H13" s="1">
        <v>-8557536</v>
      </c>
    </row>
    <row r="14" spans="1:11" x14ac:dyDescent="0.25">
      <c r="A14">
        <v>2015</v>
      </c>
      <c r="B14" s="1">
        <v>631</v>
      </c>
      <c r="C14" s="1">
        <v>1</v>
      </c>
      <c r="D14" s="1">
        <v>474496</v>
      </c>
      <c r="E14" s="1">
        <v>486522</v>
      </c>
      <c r="F14" s="1">
        <v>299407064</v>
      </c>
      <c r="G14" s="1">
        <v>306995268</v>
      </c>
      <c r="H14" s="1">
        <v>7588204</v>
      </c>
    </row>
    <row r="15" spans="1:11" x14ac:dyDescent="0.25">
      <c r="A15">
        <v>2016</v>
      </c>
      <c r="B15" s="1">
        <v>632</v>
      </c>
      <c r="C15" s="1">
        <v>1</v>
      </c>
      <c r="D15" s="1">
        <v>333771</v>
      </c>
      <c r="E15" s="1">
        <v>484173</v>
      </c>
      <c r="F15" s="1">
        <v>210943430</v>
      </c>
      <c r="G15" s="1">
        <v>305997424</v>
      </c>
      <c r="H15" s="1">
        <v>95053994</v>
      </c>
    </row>
    <row r="16" spans="1:11" x14ac:dyDescent="0.25">
      <c r="A16">
        <v>2017</v>
      </c>
      <c r="B16" s="1">
        <v>766</v>
      </c>
      <c r="C16" s="1">
        <v>1</v>
      </c>
      <c r="D16" s="1">
        <v>443825</v>
      </c>
      <c r="E16" s="1">
        <v>473943</v>
      </c>
      <c r="F16" s="1">
        <v>339970302</v>
      </c>
      <c r="G16" s="1">
        <v>363040690</v>
      </c>
      <c r="H16" s="1">
        <v>23070388</v>
      </c>
    </row>
    <row r="17" spans="1:8" x14ac:dyDescent="0.25">
      <c r="A17">
        <v>2018</v>
      </c>
      <c r="B17" s="1">
        <v>689</v>
      </c>
      <c r="C17" s="1">
        <v>1</v>
      </c>
      <c r="D17" s="1">
        <v>420157</v>
      </c>
      <c r="E17" s="1">
        <v>471376</v>
      </c>
      <c r="F17" s="1">
        <v>289487884</v>
      </c>
      <c r="G17" s="1">
        <v>324778133</v>
      </c>
      <c r="H17" s="1">
        <v>35290249</v>
      </c>
    </row>
    <row r="18" spans="1:8" x14ac:dyDescent="0.25">
      <c r="A18">
        <v>2019</v>
      </c>
      <c r="B18" s="1">
        <v>697</v>
      </c>
      <c r="C18" s="1">
        <v>1</v>
      </c>
      <c r="D18" s="1">
        <v>431876</v>
      </c>
      <c r="E18" s="1">
        <v>482103</v>
      </c>
      <c r="F18" s="1">
        <v>301017224</v>
      </c>
      <c r="G18" s="1">
        <v>336025638</v>
      </c>
      <c r="H18" s="1">
        <v>35008414</v>
      </c>
    </row>
    <row r="19" spans="1:8" x14ac:dyDescent="0.25">
      <c r="A19">
        <v>2020</v>
      </c>
      <c r="B19" s="1">
        <v>661</v>
      </c>
      <c r="C19" s="1">
        <v>1</v>
      </c>
      <c r="D19" s="1">
        <v>313280</v>
      </c>
      <c r="E19" s="1">
        <v>486462</v>
      </c>
      <c r="F19" s="1">
        <v>207078212</v>
      </c>
      <c r="G19" s="1">
        <v>321551501</v>
      </c>
      <c r="H19" s="1">
        <v>114473289</v>
      </c>
    </row>
    <row r="20" spans="1:8" x14ac:dyDescent="0.25">
      <c r="A20">
        <v>2021</v>
      </c>
      <c r="B20" s="1">
        <v>955</v>
      </c>
      <c r="C20" s="1">
        <v>1</v>
      </c>
      <c r="D20" s="1">
        <v>386187</v>
      </c>
      <c r="E20" s="1">
        <v>462020</v>
      </c>
      <c r="F20" s="1">
        <v>368808766</v>
      </c>
      <c r="G20" s="1">
        <v>441228833</v>
      </c>
      <c r="H20" s="1">
        <v>72420066</v>
      </c>
    </row>
    <row r="21" spans="1:8" x14ac:dyDescent="0.25">
      <c r="A21">
        <v>2022</v>
      </c>
      <c r="B21" s="1">
        <v>724</v>
      </c>
      <c r="C21" s="1">
        <v>1</v>
      </c>
      <c r="D21" s="1">
        <v>280502</v>
      </c>
      <c r="E21" s="1">
        <v>460963</v>
      </c>
      <c r="F21" s="1">
        <v>203083187</v>
      </c>
      <c r="G21" s="1">
        <v>333737386</v>
      </c>
      <c r="H21" s="1">
        <v>130654198</v>
      </c>
    </row>
    <row r="22" spans="1:8" x14ac:dyDescent="0.25">
      <c r="A22">
        <v>2023</v>
      </c>
      <c r="B22" s="1">
        <v>886</v>
      </c>
      <c r="C22" s="1">
        <v>1</v>
      </c>
      <c r="D22" s="1">
        <v>367491</v>
      </c>
      <c r="E22" s="1">
        <v>453308</v>
      </c>
      <c r="F22" s="1">
        <v>325596742</v>
      </c>
      <c r="G22" s="1">
        <v>401630906</v>
      </c>
      <c r="H22" s="1">
        <v>76034163</v>
      </c>
    </row>
    <row r="23" spans="1:8" x14ac:dyDescent="0.25">
      <c r="A23">
        <v>2024</v>
      </c>
      <c r="B23" s="1">
        <v>739</v>
      </c>
      <c r="C23" s="1">
        <v>1</v>
      </c>
      <c r="D23" s="1">
        <v>255311</v>
      </c>
      <c r="E23" s="1">
        <v>453187</v>
      </c>
      <c r="F23" s="1">
        <v>188674585</v>
      </c>
      <c r="G23" s="1">
        <v>334905429</v>
      </c>
      <c r="H23" s="1">
        <v>146230844</v>
      </c>
    </row>
    <row r="24" spans="1:8" x14ac:dyDescent="0.25">
      <c r="A24">
        <v>2025</v>
      </c>
      <c r="B24" s="1">
        <v>913</v>
      </c>
      <c r="C24" s="1">
        <v>1</v>
      </c>
      <c r="D24" s="1">
        <v>247492</v>
      </c>
      <c r="E24" s="1">
        <v>443893</v>
      </c>
      <c r="F24" s="1">
        <v>225959794</v>
      </c>
      <c r="G24" s="1">
        <v>405274692</v>
      </c>
      <c r="H24" s="1">
        <v>179314898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A05F-36C5-4650-87BC-265835AC4B7B}">
  <dimension ref="B10:K67"/>
  <sheetViews>
    <sheetView tabSelected="1" topLeftCell="A37" workbookViewId="0">
      <selection activeCell="E55" sqref="E55"/>
    </sheetView>
  </sheetViews>
  <sheetFormatPr defaultRowHeight="15" x14ac:dyDescent="0.25"/>
  <cols>
    <col min="2" max="2" width="14.5703125" customWidth="1"/>
    <col min="3" max="3" width="27.5703125" customWidth="1"/>
    <col min="4" max="4" width="43.85546875" customWidth="1"/>
    <col min="5" max="5" width="36.85546875" customWidth="1"/>
    <col min="6" max="6" width="19.5703125" customWidth="1"/>
    <col min="7" max="7" width="28.42578125" customWidth="1"/>
    <col min="8" max="8" width="25" customWidth="1"/>
    <col min="9" max="9" width="20.85546875" customWidth="1"/>
    <col min="10" max="10" width="21.42578125" customWidth="1"/>
    <col min="11" max="11" width="25.28515625" customWidth="1"/>
  </cols>
  <sheetData>
    <row r="10" spans="2:3" x14ac:dyDescent="0.25">
      <c r="B10">
        <v>1</v>
      </c>
      <c r="C10" s="4" t="s">
        <v>9</v>
      </c>
    </row>
    <row r="11" spans="2:3" x14ac:dyDescent="0.25">
      <c r="B11">
        <v>2</v>
      </c>
      <c r="C11" s="4" t="s">
        <v>12</v>
      </c>
    </row>
    <row r="12" spans="2:3" x14ac:dyDescent="0.25">
      <c r="B12">
        <v>3</v>
      </c>
      <c r="C12" s="4" t="s">
        <v>13</v>
      </c>
    </row>
    <row r="13" spans="2:3" ht="14.25" customHeight="1" x14ac:dyDescent="0.25">
      <c r="B13">
        <v>4</v>
      </c>
      <c r="C13" s="4" t="s">
        <v>14</v>
      </c>
    </row>
    <row r="14" spans="2:3" x14ac:dyDescent="0.25">
      <c r="B14">
        <v>5</v>
      </c>
      <c r="C14" s="4" t="s">
        <v>15</v>
      </c>
    </row>
    <row r="15" spans="2:3" x14ac:dyDescent="0.25">
      <c r="B15">
        <v>6</v>
      </c>
      <c r="C15" s="4" t="s">
        <v>16</v>
      </c>
    </row>
    <row r="16" spans="2:3" x14ac:dyDescent="0.25">
      <c r="B16">
        <v>7</v>
      </c>
      <c r="C16" s="4" t="s">
        <v>17</v>
      </c>
    </row>
    <row r="17" spans="2:11" x14ac:dyDescent="0.25">
      <c r="C17" s="4" t="s">
        <v>18</v>
      </c>
      <c r="D17" s="4"/>
      <c r="E17" s="4"/>
    </row>
    <row r="24" spans="2:11" x14ac:dyDescent="0.25">
      <c r="B24" t="s">
        <v>7</v>
      </c>
      <c r="C24" t="s">
        <v>11</v>
      </c>
      <c r="D24" t="s">
        <v>10</v>
      </c>
      <c r="E24" t="s">
        <v>2</v>
      </c>
      <c r="F24" t="s">
        <v>8</v>
      </c>
      <c r="G24" t="s">
        <v>3</v>
      </c>
      <c r="H24" t="s">
        <v>0</v>
      </c>
      <c r="I24" t="s">
        <v>4</v>
      </c>
      <c r="J24" t="s">
        <v>5</v>
      </c>
      <c r="K24" t="s">
        <v>6</v>
      </c>
    </row>
    <row r="25" spans="2:11" x14ac:dyDescent="0.25">
      <c r="B25">
        <v>2003</v>
      </c>
      <c r="C25" s="1">
        <v>347412</v>
      </c>
      <c r="D25" s="5">
        <v>1.25</v>
      </c>
      <c r="E25" s="1">
        <f>C25*D25</f>
        <v>434265</v>
      </c>
      <c r="F25">
        <v>1.42</v>
      </c>
      <c r="G25" s="2">
        <f>C25*F25</f>
        <v>493325.04</v>
      </c>
      <c r="H25">
        <v>447</v>
      </c>
      <c r="I25" s="2">
        <f>E25*H25</f>
        <v>194116455</v>
      </c>
      <c r="J25" s="3">
        <f>G25*H25</f>
        <v>220516292.88</v>
      </c>
      <c r="K25" s="3">
        <f>J25-I25</f>
        <v>26399837.879999995</v>
      </c>
    </row>
    <row r="26" spans="2:11" x14ac:dyDescent="0.25">
      <c r="B26">
        <v>2004</v>
      </c>
      <c r="C26" s="1">
        <v>346389</v>
      </c>
      <c r="D26" s="5">
        <v>1.19</v>
      </c>
      <c r="E26" s="1">
        <f t="shared" ref="E26:E47" si="0">C26*D26</f>
        <v>412202.91</v>
      </c>
      <c r="F26">
        <v>1.42</v>
      </c>
      <c r="G26" s="2">
        <f t="shared" ref="G26:G48" si="1">C26*F26</f>
        <v>491872.37999999995</v>
      </c>
      <c r="H26">
        <v>495</v>
      </c>
      <c r="I26" s="2">
        <f t="shared" ref="I26:I48" si="2">E26*H26</f>
        <v>204040440.44999999</v>
      </c>
      <c r="J26" s="3">
        <f t="shared" ref="J26:J48" si="3">G26*H26</f>
        <v>243476828.09999996</v>
      </c>
      <c r="K26" s="3">
        <f t="shared" ref="K26:K48" si="4">J26-I26</f>
        <v>39436387.649999976</v>
      </c>
    </row>
    <row r="27" spans="2:11" x14ac:dyDescent="0.25">
      <c r="B27">
        <v>2005</v>
      </c>
      <c r="C27" s="1">
        <v>349995</v>
      </c>
      <c r="D27" s="5">
        <v>0.86</v>
      </c>
      <c r="E27" s="1">
        <f t="shared" si="0"/>
        <v>300995.7</v>
      </c>
      <c r="F27">
        <v>1.42</v>
      </c>
      <c r="G27" s="2">
        <f t="shared" si="1"/>
        <v>496992.89999999997</v>
      </c>
      <c r="H27">
        <v>494</v>
      </c>
      <c r="I27" s="2">
        <f t="shared" si="2"/>
        <v>148691875.80000001</v>
      </c>
      <c r="J27" s="3">
        <f t="shared" si="3"/>
        <v>245514492.59999999</v>
      </c>
      <c r="K27" s="3">
        <f t="shared" si="4"/>
        <v>96822616.799999982</v>
      </c>
    </row>
    <row r="28" spans="2:11" x14ac:dyDescent="0.25">
      <c r="B28">
        <v>2006</v>
      </c>
      <c r="C28" s="1">
        <v>340595</v>
      </c>
      <c r="D28" s="5">
        <v>1.25</v>
      </c>
      <c r="E28" s="1">
        <f t="shared" si="0"/>
        <v>425743.75</v>
      </c>
      <c r="F28">
        <v>1.42</v>
      </c>
      <c r="G28" s="2">
        <f t="shared" si="1"/>
        <v>483644.89999999997</v>
      </c>
      <c r="H28">
        <v>616</v>
      </c>
      <c r="I28" s="2">
        <f t="shared" si="2"/>
        <v>262258150</v>
      </c>
      <c r="J28" s="3">
        <f t="shared" si="3"/>
        <v>297925258.39999998</v>
      </c>
      <c r="K28" s="3">
        <f t="shared" si="4"/>
        <v>35667108.399999976</v>
      </c>
    </row>
    <row r="29" spans="2:11" x14ac:dyDescent="0.25">
      <c r="B29">
        <v>2007</v>
      </c>
      <c r="C29" s="1">
        <v>344742</v>
      </c>
      <c r="D29" s="5">
        <v>0.86</v>
      </c>
      <c r="E29" s="1">
        <f t="shared" si="0"/>
        <v>296478.12</v>
      </c>
      <c r="F29">
        <v>1.42</v>
      </c>
      <c r="G29" s="2">
        <f t="shared" si="1"/>
        <v>489533.63999999996</v>
      </c>
      <c r="H29">
        <v>503</v>
      </c>
      <c r="I29" s="2">
        <f t="shared" si="2"/>
        <v>149128494.35999998</v>
      </c>
      <c r="J29" s="3">
        <f t="shared" si="3"/>
        <v>246235420.91999999</v>
      </c>
      <c r="K29" s="3">
        <f t="shared" si="4"/>
        <v>97106926.560000002</v>
      </c>
    </row>
    <row r="30" spans="2:11" x14ac:dyDescent="0.25">
      <c r="B30">
        <v>2008</v>
      </c>
      <c r="C30" s="1">
        <v>342628</v>
      </c>
      <c r="D30" s="5">
        <v>1.26</v>
      </c>
      <c r="E30" s="1">
        <f t="shared" si="0"/>
        <v>431711.28</v>
      </c>
      <c r="F30">
        <v>1.42</v>
      </c>
      <c r="G30" s="2">
        <f t="shared" si="1"/>
        <v>486531.75999999995</v>
      </c>
      <c r="H30">
        <v>614</v>
      </c>
      <c r="I30" s="2">
        <f t="shared" si="2"/>
        <v>265070725.92000002</v>
      </c>
      <c r="J30" s="3">
        <f t="shared" si="3"/>
        <v>298730500.63999999</v>
      </c>
      <c r="K30" s="3">
        <f t="shared" si="4"/>
        <v>33659774.719999969</v>
      </c>
    </row>
    <row r="31" spans="2:11" x14ac:dyDescent="0.25">
      <c r="B31">
        <v>2009</v>
      </c>
      <c r="C31" s="1">
        <v>345650</v>
      </c>
      <c r="D31" s="5">
        <v>1.25</v>
      </c>
      <c r="E31" s="1">
        <f t="shared" si="0"/>
        <v>432062.5</v>
      </c>
      <c r="F31">
        <v>1.42</v>
      </c>
      <c r="G31" s="2">
        <f t="shared" si="1"/>
        <v>490823</v>
      </c>
      <c r="H31">
        <v>585</v>
      </c>
      <c r="I31" s="2">
        <f t="shared" si="2"/>
        <v>252756562.5</v>
      </c>
      <c r="J31" s="3">
        <f t="shared" si="3"/>
        <v>287131455</v>
      </c>
      <c r="K31" s="3">
        <f t="shared" si="4"/>
        <v>34374892.5</v>
      </c>
    </row>
    <row r="32" spans="2:11" x14ac:dyDescent="0.25">
      <c r="B32">
        <v>2010</v>
      </c>
      <c r="C32" s="1">
        <v>347243</v>
      </c>
      <c r="D32" s="5">
        <v>1.3</v>
      </c>
      <c r="E32" s="1">
        <f t="shared" si="0"/>
        <v>451415.9</v>
      </c>
      <c r="F32">
        <v>1.42</v>
      </c>
      <c r="G32" s="2">
        <f t="shared" si="1"/>
        <v>493085.06</v>
      </c>
      <c r="H32">
        <v>612</v>
      </c>
      <c r="I32" s="2">
        <f t="shared" si="2"/>
        <v>276266530.80000001</v>
      </c>
      <c r="J32" s="3">
        <f t="shared" si="3"/>
        <v>301768056.71999997</v>
      </c>
      <c r="K32" s="3">
        <f t="shared" si="4"/>
        <v>25501525.919999957</v>
      </c>
    </row>
    <row r="33" spans="2:11" x14ac:dyDescent="0.25">
      <c r="B33">
        <v>2011</v>
      </c>
      <c r="C33" s="1">
        <v>346569</v>
      </c>
      <c r="D33" s="5">
        <v>1.33</v>
      </c>
      <c r="E33" s="1">
        <f t="shared" si="0"/>
        <v>460936.77</v>
      </c>
      <c r="F33">
        <v>1.42</v>
      </c>
      <c r="G33" s="2">
        <f t="shared" si="1"/>
        <v>492127.98</v>
      </c>
      <c r="H33">
        <v>599</v>
      </c>
      <c r="I33" s="2">
        <f t="shared" si="2"/>
        <v>276101125.23000002</v>
      </c>
      <c r="J33" s="3">
        <f t="shared" si="3"/>
        <v>294784660.01999998</v>
      </c>
      <c r="K33" s="3">
        <f t="shared" si="4"/>
        <v>18683534.789999962</v>
      </c>
    </row>
    <row r="34" spans="2:11" x14ac:dyDescent="0.25">
      <c r="B34">
        <v>2012</v>
      </c>
      <c r="C34" s="1">
        <v>344077</v>
      </c>
      <c r="D34" s="5">
        <v>0.94</v>
      </c>
      <c r="E34" s="1">
        <f t="shared" si="0"/>
        <v>323432.38</v>
      </c>
      <c r="F34">
        <v>1.42</v>
      </c>
      <c r="G34" s="2">
        <f t="shared" si="1"/>
        <v>488589.33999999997</v>
      </c>
      <c r="H34">
        <v>579</v>
      </c>
      <c r="I34" s="2">
        <f t="shared" si="2"/>
        <v>187267348.02000001</v>
      </c>
      <c r="J34" s="3">
        <f t="shared" si="3"/>
        <v>282893227.85999995</v>
      </c>
      <c r="K34" s="3">
        <f t="shared" si="4"/>
        <v>95625879.839999944</v>
      </c>
    </row>
    <row r="35" spans="2:11" x14ac:dyDescent="0.25">
      <c r="B35">
        <v>2013</v>
      </c>
      <c r="C35" s="1">
        <v>337090</v>
      </c>
      <c r="D35" s="5">
        <v>1.38</v>
      </c>
      <c r="E35" s="1">
        <f t="shared" si="0"/>
        <v>465184.19999999995</v>
      </c>
      <c r="F35">
        <v>1.42</v>
      </c>
      <c r="G35" s="2">
        <f t="shared" si="1"/>
        <v>478667.8</v>
      </c>
      <c r="H35">
        <v>733</v>
      </c>
      <c r="I35" s="2">
        <f t="shared" si="2"/>
        <v>340980018.59999996</v>
      </c>
      <c r="J35" s="3">
        <f t="shared" si="3"/>
        <v>350863497.39999998</v>
      </c>
      <c r="K35" s="3">
        <f t="shared" si="4"/>
        <v>9883478.8000000119</v>
      </c>
    </row>
    <row r="36" spans="2:11" x14ac:dyDescent="0.25">
      <c r="B36">
        <v>2014</v>
      </c>
      <c r="C36" s="1">
        <v>338590</v>
      </c>
      <c r="D36" s="5">
        <v>1.42</v>
      </c>
      <c r="E36" s="1">
        <f t="shared" si="0"/>
        <v>480797.8</v>
      </c>
      <c r="F36">
        <v>1.42</v>
      </c>
      <c r="G36" s="2">
        <f t="shared" si="1"/>
        <v>480797.8</v>
      </c>
      <c r="H36">
        <v>630</v>
      </c>
      <c r="I36" s="2">
        <f t="shared" si="2"/>
        <v>302902614</v>
      </c>
      <c r="J36" s="3">
        <f t="shared" si="3"/>
        <v>302902614</v>
      </c>
      <c r="K36" s="3">
        <f t="shared" si="4"/>
        <v>0</v>
      </c>
    </row>
    <row r="37" spans="2:11" x14ac:dyDescent="0.25">
      <c r="C37" s="1"/>
      <c r="D37" s="5"/>
      <c r="E37" s="1"/>
      <c r="G37" s="2"/>
      <c r="I37" s="2"/>
      <c r="J37" s="3"/>
      <c r="K37" s="3"/>
    </row>
    <row r="38" spans="2:11" x14ac:dyDescent="0.25">
      <c r="B38">
        <v>2015</v>
      </c>
      <c r="C38" s="1">
        <v>342621</v>
      </c>
      <c r="D38" s="5">
        <v>1.34</v>
      </c>
      <c r="E38" s="1">
        <f t="shared" si="0"/>
        <v>459112.14</v>
      </c>
      <c r="F38">
        <v>1.42</v>
      </c>
      <c r="G38" s="2">
        <f t="shared" si="1"/>
        <v>486521.81999999995</v>
      </c>
      <c r="H38">
        <v>631</v>
      </c>
      <c r="I38" s="2">
        <f t="shared" si="2"/>
        <v>289699760.34000003</v>
      </c>
      <c r="J38" s="3">
        <f t="shared" si="3"/>
        <v>306995268.41999996</v>
      </c>
      <c r="K38" s="3">
        <f t="shared" si="4"/>
        <v>17295508.079999924</v>
      </c>
    </row>
    <row r="39" spans="2:11" x14ac:dyDescent="0.25">
      <c r="B39">
        <v>2016</v>
      </c>
      <c r="C39" s="1">
        <v>340967</v>
      </c>
      <c r="D39" s="5">
        <v>0.92</v>
      </c>
      <c r="E39" s="1">
        <f t="shared" si="0"/>
        <v>313689.64</v>
      </c>
      <c r="F39">
        <v>1.42</v>
      </c>
      <c r="G39" s="2">
        <f>C39*F39</f>
        <v>484173.13999999996</v>
      </c>
      <c r="H39">
        <v>632</v>
      </c>
      <c r="I39" s="2">
        <f>E39*H39</f>
        <v>198251852.48000002</v>
      </c>
      <c r="J39" s="3">
        <f>G39*H39</f>
        <v>305997424.47999996</v>
      </c>
      <c r="K39" s="3">
        <f t="shared" si="4"/>
        <v>107745571.99999994</v>
      </c>
    </row>
    <row r="40" spans="2:11" x14ac:dyDescent="0.25">
      <c r="B40">
        <v>2017</v>
      </c>
      <c r="C40" s="1">
        <v>333763</v>
      </c>
      <c r="D40" s="5">
        <v>1.27</v>
      </c>
      <c r="E40" s="1">
        <f t="shared" si="0"/>
        <v>423879.01</v>
      </c>
      <c r="F40">
        <v>1.42</v>
      </c>
      <c r="G40" s="2">
        <f t="shared" si="1"/>
        <v>473943.45999999996</v>
      </c>
      <c r="H40">
        <v>766</v>
      </c>
      <c r="I40" s="2">
        <f t="shared" si="2"/>
        <v>324691321.66000003</v>
      </c>
      <c r="J40" s="3">
        <f t="shared" si="3"/>
        <v>363040690.35999995</v>
      </c>
      <c r="K40" s="3">
        <f t="shared" si="4"/>
        <v>38349368.699999928</v>
      </c>
    </row>
    <row r="41" spans="2:11" x14ac:dyDescent="0.25">
      <c r="B41">
        <v>2018</v>
      </c>
      <c r="C41" s="1">
        <v>331955</v>
      </c>
      <c r="D41" s="5">
        <v>1.22</v>
      </c>
      <c r="E41" s="1">
        <f t="shared" si="0"/>
        <v>404985.1</v>
      </c>
      <c r="F41">
        <v>1.42</v>
      </c>
      <c r="G41" s="2">
        <f t="shared" si="1"/>
        <v>471376.1</v>
      </c>
      <c r="H41">
        <v>689</v>
      </c>
      <c r="I41" s="2">
        <f t="shared" si="2"/>
        <v>279034733.89999998</v>
      </c>
      <c r="J41" s="3">
        <f t="shared" si="3"/>
        <v>324778132.89999998</v>
      </c>
      <c r="K41" s="3">
        <f t="shared" si="4"/>
        <v>45743399</v>
      </c>
    </row>
    <row r="42" spans="2:11" x14ac:dyDescent="0.25">
      <c r="B42">
        <v>2019</v>
      </c>
      <c r="C42" s="1">
        <v>339509</v>
      </c>
      <c r="D42" s="5">
        <v>1.23</v>
      </c>
      <c r="E42" s="1">
        <f t="shared" si="0"/>
        <v>417596.07</v>
      </c>
      <c r="F42">
        <v>1.42</v>
      </c>
      <c r="G42" s="2">
        <f t="shared" si="1"/>
        <v>482102.77999999997</v>
      </c>
      <c r="H42">
        <v>697</v>
      </c>
      <c r="I42" s="2">
        <f t="shared" si="2"/>
        <v>291064460.79000002</v>
      </c>
      <c r="J42" s="3">
        <f t="shared" si="3"/>
        <v>336025637.65999997</v>
      </c>
      <c r="K42" s="3">
        <f t="shared" si="4"/>
        <v>44961176.869999945</v>
      </c>
    </row>
    <row r="43" spans="2:11" x14ac:dyDescent="0.25">
      <c r="B43">
        <v>2020</v>
      </c>
      <c r="C43" s="1">
        <v>342579</v>
      </c>
      <c r="D43" s="5">
        <v>0.86</v>
      </c>
      <c r="E43" s="1">
        <f t="shared" si="0"/>
        <v>294617.94</v>
      </c>
      <c r="F43">
        <v>1.42</v>
      </c>
      <c r="G43" s="2">
        <f t="shared" si="1"/>
        <v>486462.18</v>
      </c>
      <c r="H43">
        <v>661</v>
      </c>
      <c r="I43" s="2">
        <f t="shared" si="2"/>
        <v>194742458.34</v>
      </c>
      <c r="J43" s="3">
        <f t="shared" si="3"/>
        <v>321551500.98000002</v>
      </c>
      <c r="K43" s="3">
        <f t="shared" si="4"/>
        <v>126809042.64000002</v>
      </c>
    </row>
    <row r="44" spans="2:11" x14ac:dyDescent="0.25">
      <c r="B44">
        <v>2021</v>
      </c>
      <c r="C44" s="1">
        <v>325366</v>
      </c>
      <c r="D44" s="5">
        <v>1.1299999999999999</v>
      </c>
      <c r="E44" s="1">
        <f t="shared" si="0"/>
        <v>367663.57999999996</v>
      </c>
      <c r="F44">
        <v>1.42</v>
      </c>
      <c r="G44" s="2">
        <f t="shared" si="1"/>
        <v>462019.72</v>
      </c>
      <c r="H44">
        <v>955</v>
      </c>
      <c r="I44" s="2">
        <f t="shared" si="2"/>
        <v>351118718.89999998</v>
      </c>
      <c r="J44" s="3">
        <f t="shared" si="3"/>
        <v>441228832.59999996</v>
      </c>
      <c r="K44" s="3">
        <f t="shared" si="4"/>
        <v>90110113.699999988</v>
      </c>
    </row>
    <row r="45" spans="2:11" x14ac:dyDescent="0.25">
      <c r="B45">
        <v>2022</v>
      </c>
      <c r="C45" s="1">
        <v>324622</v>
      </c>
      <c r="D45" s="5">
        <v>0.81</v>
      </c>
      <c r="E45" s="1">
        <f t="shared" si="0"/>
        <v>262943.82</v>
      </c>
      <c r="F45">
        <v>1.42</v>
      </c>
      <c r="G45" s="2">
        <f t="shared" si="1"/>
        <v>460963.24</v>
      </c>
      <c r="H45">
        <v>724</v>
      </c>
      <c r="I45" s="2">
        <f t="shared" si="2"/>
        <v>190371325.68000001</v>
      </c>
      <c r="J45" s="3">
        <f t="shared" si="3"/>
        <v>333737385.75999999</v>
      </c>
      <c r="K45" s="3">
        <f t="shared" si="4"/>
        <v>143366060.07999998</v>
      </c>
    </row>
    <row r="46" spans="2:11" x14ac:dyDescent="0.25">
      <c r="B46">
        <v>2023</v>
      </c>
      <c r="C46" s="1">
        <v>319231</v>
      </c>
      <c r="D46" s="5">
        <v>1.1100000000000001</v>
      </c>
      <c r="E46" s="1">
        <f t="shared" si="0"/>
        <v>354346.41000000003</v>
      </c>
      <c r="F46">
        <v>1.42</v>
      </c>
      <c r="G46" s="2">
        <f t="shared" si="1"/>
        <v>453308.01999999996</v>
      </c>
      <c r="H46">
        <v>886</v>
      </c>
      <c r="I46" s="2">
        <f t="shared" si="2"/>
        <v>313950919.26000005</v>
      </c>
      <c r="J46" s="3">
        <f t="shared" si="3"/>
        <v>401630905.71999997</v>
      </c>
      <c r="K46" s="3">
        <f t="shared" si="4"/>
        <v>87679986.459999919</v>
      </c>
    </row>
    <row r="47" spans="2:11" x14ac:dyDescent="0.25">
      <c r="B47">
        <v>2024</v>
      </c>
      <c r="C47" s="1">
        <v>319146</v>
      </c>
      <c r="D47" s="5">
        <v>0.75</v>
      </c>
      <c r="E47" s="1">
        <f t="shared" si="0"/>
        <v>239359.5</v>
      </c>
      <c r="F47">
        <v>1.42</v>
      </c>
      <c r="G47" s="2">
        <f t="shared" si="1"/>
        <v>453187.31999999995</v>
      </c>
      <c r="H47">
        <v>739</v>
      </c>
      <c r="I47" s="2">
        <f t="shared" si="2"/>
        <v>176886670.5</v>
      </c>
      <c r="J47" s="3">
        <f t="shared" si="3"/>
        <v>334905429.47999996</v>
      </c>
      <c r="K47" s="3">
        <f t="shared" si="4"/>
        <v>158018758.97999996</v>
      </c>
    </row>
    <row r="48" spans="2:11" x14ac:dyDescent="0.25">
      <c r="B48">
        <v>2025</v>
      </c>
      <c r="C48" s="1">
        <v>312601</v>
      </c>
      <c r="D48" s="5">
        <v>0.73</v>
      </c>
      <c r="E48" s="1">
        <f>C48*D48</f>
        <v>228198.72999999998</v>
      </c>
      <c r="F48">
        <v>1.42</v>
      </c>
      <c r="G48" s="2">
        <f t="shared" si="1"/>
        <v>443893.42</v>
      </c>
      <c r="H48">
        <v>913</v>
      </c>
      <c r="I48" s="2">
        <f t="shared" si="2"/>
        <v>208345440.48999998</v>
      </c>
      <c r="J48" s="3">
        <f t="shared" si="3"/>
        <v>405274692.45999998</v>
      </c>
      <c r="K48" s="3">
        <f t="shared" si="4"/>
        <v>196929251.97</v>
      </c>
    </row>
    <row r="49" spans="3:11" x14ac:dyDescent="0.25">
      <c r="K49" s="6">
        <f>SUM(K38:K48)</f>
        <v>1057008238.4799995</v>
      </c>
    </row>
    <row r="56" spans="3:11" x14ac:dyDescent="0.25">
      <c r="C56" s="4" t="s">
        <v>7</v>
      </c>
      <c r="D56" s="4" t="s">
        <v>6</v>
      </c>
    </row>
    <row r="57" spans="3:11" x14ac:dyDescent="0.25">
      <c r="C57">
        <v>2015</v>
      </c>
      <c r="D57" s="1">
        <v>17295508.079999924</v>
      </c>
    </row>
    <row r="58" spans="3:11" x14ac:dyDescent="0.25">
      <c r="C58">
        <v>2016</v>
      </c>
      <c r="D58" s="1">
        <v>107745571.99999994</v>
      </c>
    </row>
    <row r="59" spans="3:11" x14ac:dyDescent="0.25">
      <c r="C59">
        <v>2017</v>
      </c>
      <c r="D59" s="1">
        <v>38349368.699999928</v>
      </c>
    </row>
    <row r="60" spans="3:11" x14ac:dyDescent="0.25">
      <c r="C60">
        <v>2018</v>
      </c>
      <c r="D60" s="1">
        <v>45743399</v>
      </c>
    </row>
    <row r="61" spans="3:11" x14ac:dyDescent="0.25">
      <c r="C61">
        <v>2019</v>
      </c>
      <c r="D61" s="1">
        <v>44961176.869999945</v>
      </c>
    </row>
    <row r="62" spans="3:11" x14ac:dyDescent="0.25">
      <c r="C62">
        <v>2020</v>
      </c>
      <c r="D62" s="1">
        <v>126809042.64000002</v>
      </c>
    </row>
    <row r="63" spans="3:11" x14ac:dyDescent="0.25">
      <c r="C63">
        <v>2021</v>
      </c>
      <c r="D63" s="1">
        <v>90110113.699999988</v>
      </c>
    </row>
    <row r="64" spans="3:11" x14ac:dyDescent="0.25">
      <c r="C64">
        <v>2022</v>
      </c>
      <c r="D64" s="1">
        <v>143366060.07999998</v>
      </c>
    </row>
    <row r="65" spans="3:4" x14ac:dyDescent="0.25">
      <c r="C65">
        <v>2023</v>
      </c>
      <c r="D65" s="1">
        <v>87679986.459999919</v>
      </c>
    </row>
    <row r="66" spans="3:4" x14ac:dyDescent="0.25">
      <c r="C66">
        <v>2024</v>
      </c>
      <c r="D66" s="1">
        <v>158018758.97999996</v>
      </c>
    </row>
    <row r="67" spans="3:4" x14ac:dyDescent="0.25">
      <c r="C67">
        <v>2025</v>
      </c>
      <c r="D67" s="1">
        <v>196929251.97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CED1A338C294FB839044B3261CE72" ma:contentTypeVersion="16" ma:contentTypeDescription="Create a new document." ma:contentTypeScope="" ma:versionID="bc0edf076d56e636141d1dc9e4be5efd">
  <xsd:schema xmlns:xsd="http://www.w3.org/2001/XMLSchema" xmlns:xs="http://www.w3.org/2001/XMLSchema" xmlns:p="http://schemas.microsoft.com/office/2006/metadata/properties" xmlns:ns3="53b4e0c9-def2-4e21-a406-574a5e698391" xmlns:ns4="34af18ce-785a-4dc4-8ed2-e448460574e5" targetNamespace="http://schemas.microsoft.com/office/2006/metadata/properties" ma:root="true" ma:fieldsID="53c2681875f727a5542c566a58254c87" ns3:_="" ns4:_="">
    <xsd:import namespace="53b4e0c9-def2-4e21-a406-574a5e698391"/>
    <xsd:import namespace="34af18ce-785a-4dc4-8ed2-e448460574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4e0c9-def2-4e21-a406-574a5e698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f18ce-785a-4dc4-8ed2-e448460574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b4e0c9-def2-4e21-a406-574a5e698391" xsi:nil="true"/>
  </documentManagement>
</p:properties>
</file>

<file path=customXml/itemProps1.xml><?xml version="1.0" encoding="utf-8"?>
<ds:datastoreItem xmlns:ds="http://schemas.openxmlformats.org/officeDocument/2006/customXml" ds:itemID="{B084734E-8026-4C49-994E-53500A617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4e0c9-def2-4e21-a406-574a5e698391"/>
    <ds:schemaRef ds:uri="34af18ce-785a-4dc4-8ed2-e448460574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C3A9A4-A62D-4C1A-9046-D250A1F1A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8D3AD7-C2B0-4C38-8F7F-FE2C771DD0BD}">
  <ds:schemaRefs>
    <ds:schemaRef ds:uri="http://schemas.microsoft.com/office/2006/metadata/properties"/>
    <ds:schemaRef ds:uri="34af18ce-785a-4dc4-8ed2-e448460574e5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3b4e0c9-def2-4e21-a406-574a5e69839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economic_loss_calculation_summa</vt:lpstr>
      <vt:lpstr>Analysis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DUSHIME</dc:creator>
  <cp:lastModifiedBy>Jean Claude Dushime</cp:lastModifiedBy>
  <dcterms:created xsi:type="dcterms:W3CDTF">2025-10-07T12:31:20Z</dcterms:created>
  <dcterms:modified xsi:type="dcterms:W3CDTF">2025-10-07T15:10:17Z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0x010100D4DCED1A338C294FB839044B3261CE72</vt:lpwstr>
  </property>
</Properties>
</file>