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Claude DUSHIME\Documents\Research papers developments\Final paper\v3 final paper\"/>
    </mc:Choice>
  </mc:AlternateContent>
  <xr:revisionPtr revIDLastSave="0" documentId="13_ncr:1_{A66BF10D-9609-4715-8646-6C170A5CCA66}" xr6:coauthVersionLast="47" xr6:coauthVersionMax="47" xr10:uidLastSave="{00000000-0000-0000-0000-000000000000}"/>
  <bookViews>
    <workbookView xWindow="-120" yWindow="-120" windowWidth="38640" windowHeight="21120" activeTab="6" xr2:uid="{D0DFEE94-01ED-4CE2-8D1B-A0C97D6DAC05}"/>
  </bookViews>
  <sheets>
    <sheet name="beans_yield_t_ha" sheetId="1" r:id="rId1"/>
    <sheet name="20 average yields" sheetId="2" r:id="rId2"/>
    <sheet name="15 average yields" sheetId="3" r:id="rId3"/>
    <sheet name="10 average yields" sheetId="4" r:id="rId4"/>
    <sheet name="5 average yields" sheetId="5" r:id="rId5"/>
    <sheet name="Average yield per district" sheetId="6" r:id="rId6"/>
    <sheet name="standard deviation in yield" sheetId="7" r:id="rId7"/>
  </sheets>
  <definedNames>
    <definedName name="_xlnm._FilterDatabase" localSheetId="1" hidden="1">'20 average yields'!$A$1:$V$23</definedName>
    <definedName name="_xlchart.v5.0" hidden="1">'20 average yields'!$A$1</definedName>
    <definedName name="_xlchart.v5.1" hidden="1">'20 average yields'!$A$2:$A$22</definedName>
    <definedName name="_xlchart.v5.10" hidden="1">'10 average yields'!$L$1</definedName>
    <definedName name="_xlchart.v5.11" hidden="1">'10 average yields'!$L$2:$L$22</definedName>
    <definedName name="_xlchart.v5.12" hidden="1">'5 average yields'!$A$1</definedName>
    <definedName name="_xlchart.v5.13" hidden="1">'5 average yields'!$A$2:$A$22</definedName>
    <definedName name="_xlchart.v5.14" hidden="1">'5 average yields'!$G$1</definedName>
    <definedName name="_xlchart.v5.15" hidden="1">'5 average yields'!$G$2:$G$22</definedName>
    <definedName name="_xlchart.v5.2" hidden="1">'20 average yields'!$V$1</definedName>
    <definedName name="_xlchart.v5.3" hidden="1">'20 average yields'!$V$2:$V$22</definedName>
    <definedName name="_xlchart.v5.4" hidden="1">'15 average yields'!$A$1</definedName>
    <definedName name="_xlchart.v5.5" hidden="1">'15 average yields'!$A$2:$A$22</definedName>
    <definedName name="_xlchart.v5.6" hidden="1">'15 average yields'!$Q$1</definedName>
    <definedName name="_xlchart.v5.7" hidden="1">'15 average yields'!$Q$2:$Q$22</definedName>
    <definedName name="_xlchart.v5.8" hidden="1">'10 average yields'!$A$1</definedName>
    <definedName name="_xlchart.v5.9" hidden="1">'10 average yields'!$A$2:$A$22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7" l="1"/>
  <c r="F8" i="7"/>
  <c r="F9" i="7"/>
  <c r="F10" i="7"/>
  <c r="F11" i="7"/>
  <c r="F12" i="7"/>
  <c r="F13" i="7"/>
  <c r="F14" i="7"/>
  <c r="F15" i="7"/>
  <c r="F16" i="7"/>
  <c r="F17" i="7"/>
  <c r="F18" i="7"/>
  <c r="F7" i="7"/>
  <c r="E84" i="1"/>
  <c r="E82" i="1"/>
  <c r="D82" i="1"/>
  <c r="C8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" i="1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L2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Q18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9" i="3"/>
  <c r="Q20" i="3"/>
  <c r="Q21" i="3"/>
  <c r="Q22" i="3"/>
  <c r="Q23" i="3"/>
  <c r="Q2" i="3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" i="2"/>
</calcChain>
</file>

<file path=xl/sharedStrings.xml><?xml version="1.0" encoding="utf-8"?>
<sst xmlns="http://schemas.openxmlformats.org/spreadsheetml/2006/main" count="226" uniqueCount="50">
  <si>
    <t>District_or_Category</t>
  </si>
  <si>
    <t>Musanze</t>
  </si>
  <si>
    <t>Rubavu</t>
  </si>
  <si>
    <t>Nyabihu</t>
  </si>
  <si>
    <t>Rulindo</t>
  </si>
  <si>
    <t>Nyamagabe</t>
  </si>
  <si>
    <t>Karongi</t>
  </si>
  <si>
    <t>Gakenke</t>
  </si>
  <si>
    <t>Bugesera</t>
  </si>
  <si>
    <t>Kayonza</t>
  </si>
  <si>
    <t>Kirehe</t>
  </si>
  <si>
    <t>Ngoma</t>
  </si>
  <si>
    <t>Gatsibo</t>
  </si>
  <si>
    <t>Nyagatare</t>
  </si>
  <si>
    <t>Rwamagana</t>
  </si>
  <si>
    <t>Kicukiro</t>
  </si>
  <si>
    <t>Nyarugenge</t>
  </si>
  <si>
    <t>Gasabo</t>
  </si>
  <si>
    <t>Huye</t>
  </si>
  <si>
    <t>Muhanga</t>
  </si>
  <si>
    <t>Gisagara</t>
  </si>
  <si>
    <t>Rusizi</t>
  </si>
  <si>
    <t>Rwanda_National_Average_Yield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</si>
  <si>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</si>
  <si>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</si>
  <si>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</si>
  <si>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</si>
  <si>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</si>
  <si>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</si>
  <si>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</si>
  <si>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</si>
  <si>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</si>
  <si>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</si>
  <si>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</si>
  <si>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</si>
  <si>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</si>
  <si>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</si>
  <si>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</si>
  <si>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</si>
  <si>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</si>
  <si>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</si>
  <si>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</si>
  <si>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</si>
  <si>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</si>
  <si>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</si>
  <si>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</si>
  <si>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Averegae</t>
  </si>
  <si>
    <t>Average Yield</t>
  </si>
  <si>
    <t>PEAK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</si>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</sst>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theme="6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6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4" xfId="0" applyFont="1" applyFill="1" applyBorder="1"/>
    <xf numFmtId="0" fontId="0" fillId="0" borderId="14" xfId="0" applyBorder="1"/>
    <xf numFmtId="0" fontId="0" fillId="0" borderId="15" xfId="0" applyBorder="1"/>
    <xf numFmtId="0" fontId="13" fillId="33" borderId="0" xfId="0" applyFont="1" applyFill="1"/>
    <xf numFmtId="43" fontId="0" fillId="0" borderId="0" xfId="42" applyFont="1"/>
    <xf numFmtId="2" fontId="0" fillId="0" borderId="0" xfId="0" applyNumberFormat="1"/>
    <xf numFmtId="0" fontId="0" fillId="34" borderId="0" xfId="0" applyFill="1"/>
    <xf numFmtId="0" fontId="0" fillId="35" borderId="0" xfId="0" applyFill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4" borderId="19" xfId="0" applyFont="1" applyFill="1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2" fontId="0" fillId="0" borderId="0" xfId="0" applyNumberFormat="1" applyBorder="1"/>
    <xf numFmtId="2" fontId="0" fillId="0" borderId="20" xfId="0" applyNumberFormat="1" applyBorder="1"/>
    <xf numFmtId="0" fontId="0" fillId="0" borderId="22" xfId="0" applyBorder="1"/>
    <xf numFmtId="0" fontId="0" fillId="0" borderId="23" xfId="0" applyBorder="1"/>
    <xf numFmtId="9" fontId="14" fillId="35" borderId="24" xfId="43" applyFont="1" applyFill="1" applyBorder="1"/>
    <xf numFmtId="2" fontId="0" fillId="35" borderId="0" xfId="0" applyNumberForma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yield of beans on year basis 2003 to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beans_yield_t_ha!$B$1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beans_yield_t_ha!$B$23</c:f>
              <c:numCache>
                <c:formatCode>General</c:formatCode>
                <c:ptCount val="1"/>
                <c:pt idx="0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1-458C-8F94-2C3F942AE8C1}"/>
            </c:ext>
          </c:extLst>
        </c:ser>
        <c:ser>
          <c:idx val="1"/>
          <c:order val="1"/>
          <c:tx>
            <c:strRef>
              <c:f>beans_yield_t_ha!$C$1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beans_yield_t_ha!$C$23</c:f>
              <c:numCache>
                <c:formatCode>General</c:formatCode>
                <c:ptCount val="1"/>
                <c:pt idx="0">
                  <c:v>1.19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E1-458C-8F94-2C3F942AE8C1}"/>
            </c:ext>
          </c:extLst>
        </c:ser>
        <c:ser>
          <c:idx val="2"/>
          <c:order val="2"/>
          <c:tx>
            <c:strRef>
              <c:f>beans_yield_t_ha!$D$1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beans_yield_t_ha!$D$23</c:f>
              <c:numCache>
                <c:formatCode>General</c:formatCode>
                <c:ptCount val="1"/>
                <c:pt idx="0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E1-458C-8F94-2C3F942AE8C1}"/>
            </c:ext>
          </c:extLst>
        </c:ser>
        <c:ser>
          <c:idx val="3"/>
          <c:order val="3"/>
          <c:tx>
            <c:strRef>
              <c:f>beans_yield_t_ha!$E$1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beans_yield_t_ha!$E$23</c:f>
              <c:numCache>
                <c:formatCode>General</c:formatCode>
                <c:ptCount val="1"/>
                <c:pt idx="0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E1-458C-8F94-2C3F942AE8C1}"/>
            </c:ext>
          </c:extLst>
        </c:ser>
        <c:ser>
          <c:idx val="4"/>
          <c:order val="4"/>
          <c:tx>
            <c:strRef>
              <c:f>beans_yield_t_ha!$F$1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beans_yield_t_ha!$F$23</c:f>
              <c:numCache>
                <c:formatCode>General</c:formatCode>
                <c:ptCount val="1"/>
                <c:pt idx="0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E1-458C-8F94-2C3F942AE8C1}"/>
            </c:ext>
          </c:extLst>
        </c:ser>
        <c:ser>
          <c:idx val="5"/>
          <c:order val="5"/>
          <c:tx>
            <c:strRef>
              <c:f>beans_yield_t_ha!$G$1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beans_yield_t_ha!$G$23</c:f>
              <c:numCache>
                <c:formatCode>General</c:formatCode>
                <c:ptCount val="1"/>
                <c:pt idx="0">
                  <c:v>1.26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E1-458C-8F94-2C3F942AE8C1}"/>
            </c:ext>
          </c:extLst>
        </c:ser>
        <c:ser>
          <c:idx val="6"/>
          <c:order val="6"/>
          <c:tx>
            <c:strRef>
              <c:f>beans_yield_t_ha!$H$1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beans_yield_t_ha!$H$23</c:f>
              <c:numCache>
                <c:formatCode>General</c:formatCode>
                <c:ptCount val="1"/>
                <c:pt idx="0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E1-458C-8F94-2C3F942AE8C1}"/>
            </c:ext>
          </c:extLst>
        </c:ser>
        <c:ser>
          <c:idx val="7"/>
          <c:order val="7"/>
          <c:tx>
            <c:strRef>
              <c:f>beans_yield_t_ha!$I$1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beans_yield_t_ha!$I$23</c:f>
              <c:numCache>
                <c:formatCode>General</c:formatCode>
                <c:ptCount val="1"/>
                <c:pt idx="0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E1-458C-8F94-2C3F942AE8C1}"/>
            </c:ext>
          </c:extLst>
        </c:ser>
        <c:ser>
          <c:idx val="8"/>
          <c:order val="8"/>
          <c:tx>
            <c:strRef>
              <c:f>beans_yield_t_ha!$J$1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beans_yield_t_ha!$J$23</c:f>
              <c:numCache>
                <c:formatCode>General</c:formatCode>
                <c:ptCount val="1"/>
                <c:pt idx="0">
                  <c:v>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E1-458C-8F94-2C3F942AE8C1}"/>
            </c:ext>
          </c:extLst>
        </c:ser>
        <c:ser>
          <c:idx val="9"/>
          <c:order val="9"/>
          <c:tx>
            <c:strRef>
              <c:f>beans_yield_t_ha!$K$1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beans_yield_t_ha!$K$23</c:f>
              <c:numCache>
                <c:formatCode>General</c:formatCode>
                <c:ptCount val="1"/>
                <c:pt idx="0">
                  <c:v>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BE1-458C-8F94-2C3F942AE8C1}"/>
            </c:ext>
          </c:extLst>
        </c:ser>
        <c:ser>
          <c:idx val="10"/>
          <c:order val="10"/>
          <c:tx>
            <c:strRef>
              <c:f>beans_yield_t_ha!$L$1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beans_yield_t_ha!$L$23</c:f>
              <c:numCache>
                <c:formatCode>General</c:formatCode>
                <c:ptCount val="1"/>
                <c:pt idx="0">
                  <c:v>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E1-458C-8F94-2C3F942AE8C1}"/>
            </c:ext>
          </c:extLst>
        </c:ser>
        <c:ser>
          <c:idx val="11"/>
          <c:order val="11"/>
          <c:tx>
            <c:strRef>
              <c:f>beans_yield_t_ha!$M$1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beans_yield_t_ha!$M$23</c:f>
              <c:numCache>
                <c:formatCode>General</c:formatCode>
                <c:ptCount val="1"/>
                <c:pt idx="0">
                  <c:v>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BE1-458C-8F94-2C3F942AE8C1}"/>
            </c:ext>
          </c:extLst>
        </c:ser>
        <c:ser>
          <c:idx val="12"/>
          <c:order val="12"/>
          <c:tx>
            <c:strRef>
              <c:f>beans_yield_t_ha!$N$1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beans_yield_t_ha!$N$23</c:f>
              <c:numCache>
                <c:formatCode>General</c:formatCode>
                <c:ptCount val="1"/>
                <c:pt idx="0">
                  <c:v>1.34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BE1-458C-8F94-2C3F942AE8C1}"/>
            </c:ext>
          </c:extLst>
        </c:ser>
        <c:ser>
          <c:idx val="13"/>
          <c:order val="13"/>
          <c:tx>
            <c:strRef>
              <c:f>beans_yield_t_ha!$O$1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beans_yield_t_ha!$O$23</c:f>
              <c:numCache>
                <c:formatCode>General</c:formatCode>
                <c:ptCount val="1"/>
                <c:pt idx="0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BE1-458C-8F94-2C3F942AE8C1}"/>
            </c:ext>
          </c:extLst>
        </c:ser>
        <c:ser>
          <c:idx val="14"/>
          <c:order val="14"/>
          <c:tx>
            <c:strRef>
              <c:f>beans_yield_t_ha!$P$1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beans_yield_t_ha!$P$23</c:f>
              <c:numCache>
                <c:formatCode>General</c:formatCode>
                <c:ptCount val="1"/>
                <c:pt idx="0">
                  <c:v>1.27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BE1-458C-8F94-2C3F942AE8C1}"/>
            </c:ext>
          </c:extLst>
        </c:ser>
        <c:ser>
          <c:idx val="15"/>
          <c:order val="15"/>
          <c:tx>
            <c:strRef>
              <c:f>beans_yield_t_ha!$Q$1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beans_yield_t_ha!$Q$23</c:f>
              <c:numCache>
                <c:formatCode>General</c:formatCode>
                <c:ptCount val="1"/>
                <c:pt idx="0">
                  <c:v>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BE1-458C-8F94-2C3F942AE8C1}"/>
            </c:ext>
          </c:extLst>
        </c:ser>
        <c:ser>
          <c:idx val="16"/>
          <c:order val="16"/>
          <c:tx>
            <c:strRef>
              <c:f>beans_yield_t_ha!$R$1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beans_yield_t_ha!$R$23</c:f>
              <c:numCache>
                <c:formatCode>General</c:formatCode>
                <c:ptCount val="1"/>
                <c:pt idx="0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BE1-458C-8F94-2C3F942AE8C1}"/>
            </c:ext>
          </c:extLst>
        </c:ser>
        <c:ser>
          <c:idx val="17"/>
          <c:order val="17"/>
          <c:tx>
            <c:strRef>
              <c:f>beans_yield_t_ha!$S$1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beans_yield_t_ha!$S$23</c:f>
              <c:numCache>
                <c:formatCode>General</c:formatCode>
                <c:ptCount val="1"/>
                <c:pt idx="0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BE1-458C-8F94-2C3F942AE8C1}"/>
            </c:ext>
          </c:extLst>
        </c:ser>
        <c:ser>
          <c:idx val="18"/>
          <c:order val="18"/>
          <c:tx>
            <c:strRef>
              <c:f>beans_yield_t_ha!$T$1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beans_yield_t_ha!$T$23</c:f>
              <c:numCache>
                <c:formatCode>General</c:formatCode>
                <c:ptCount val="1"/>
                <c:pt idx="0">
                  <c:v>1.1299999999999999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BE1-458C-8F94-2C3F942AE8C1}"/>
            </c:ext>
          </c:extLst>
        </c:ser>
        <c:ser>
          <c:idx val="19"/>
          <c:order val="19"/>
          <c:tx>
            <c:strRef>
              <c:f>beans_yield_t_ha!$U$1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beans_yield_t_ha!$U$23</c:f>
              <c:numCache>
                <c:formatCode>General</c:formatCode>
                <c:ptCount val="1"/>
                <c:pt idx="0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BE1-458C-8F94-2C3F942AE8C1}"/>
            </c:ext>
          </c:extLst>
        </c:ser>
        <c:ser>
          <c:idx val="20"/>
          <c:order val="20"/>
          <c:tx>
            <c:strRef>
              <c:f>beans_yield_t_ha!$V$1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beans_yield_t_ha!$V$23</c:f>
              <c:numCache>
                <c:formatCode>General</c:formatCode>
                <c:ptCount val="1"/>
                <c:pt idx="0">
                  <c:v>1.1100000000000001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BE1-458C-8F94-2C3F942AE8C1}"/>
            </c:ext>
          </c:extLst>
        </c:ser>
        <c:ser>
          <c:idx val="21"/>
          <c:order val="21"/>
          <c:tx>
            <c:strRef>
              <c:f>beans_yield_t_ha!$W$1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beans_yield_t_ha!$W$23</c:f>
              <c:numCache>
                <c:formatCode>General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BE1-458C-8F94-2C3F942AE8C1}"/>
            </c:ext>
          </c:extLst>
        </c:ser>
        <c:ser>
          <c:idx val="22"/>
          <c:order val="22"/>
          <c:tx>
            <c:strRef>
              <c:f>beans_yield_t_ha!$X$1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beans_yield_t_ha!$X$23</c:f>
              <c:numCache>
                <c:formatCode>General</c:formatCode>
                <c:ptCount val="1"/>
                <c:pt idx="0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BE1-458C-8F94-2C3F942AE8C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7128671"/>
        <c:axId val="347125791"/>
      </c:barChart>
      <c:catAx>
        <c:axId val="347128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47125791"/>
        <c:crosses val="autoZero"/>
        <c:auto val="1"/>
        <c:lblAlgn val="ctr"/>
        <c:lblOffset val="100"/>
        <c:noMultiLvlLbl val="0"/>
      </c:catAx>
      <c:valAx>
        <c:axId val="3471257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4712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beans_yield_t_ha!$Z$1</c:f>
              <c:strCache>
                <c:ptCount val="1"/>
                <c:pt idx="0">
                  <c:v>Average Yield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beans_yield_t_ha!$A$2:$A$22</c:f>
              <c:strCache>
                <c:ptCount val="21"/>
                <c:pt idx="0">
                  <c:v>Musanze</c:v>
                </c:pt>
                <c:pt idx="1">
                  <c:v>Rubavu</c:v>
                </c:pt>
                <c:pt idx="2">
                  <c:v>Nyabihu</c:v>
                </c:pt>
                <c:pt idx="3">
                  <c:v>Rulindo</c:v>
                </c:pt>
                <c:pt idx="4">
                  <c:v>Nyamagabe</c:v>
                </c:pt>
                <c:pt idx="5">
                  <c:v>Karongi</c:v>
                </c:pt>
                <c:pt idx="6">
                  <c:v>Gakenke</c:v>
                </c:pt>
                <c:pt idx="7">
                  <c:v>Bugesera</c:v>
                </c:pt>
                <c:pt idx="8">
                  <c:v>Kayonza</c:v>
                </c:pt>
                <c:pt idx="9">
                  <c:v>Kirehe</c:v>
                </c:pt>
                <c:pt idx="10">
                  <c:v>Ngoma</c:v>
                </c:pt>
                <c:pt idx="11">
                  <c:v>Gatsibo</c:v>
                </c:pt>
                <c:pt idx="12">
                  <c:v>Nyagatare</c:v>
                </c:pt>
                <c:pt idx="13">
                  <c:v>Rwamagana</c:v>
                </c:pt>
                <c:pt idx="14">
                  <c:v>Kicukiro</c:v>
                </c:pt>
                <c:pt idx="15">
                  <c:v>Nyarugenge</c:v>
                </c:pt>
                <c:pt idx="16">
                  <c:v>Gasabo</c:v>
                </c:pt>
                <c:pt idx="17">
                  <c:v>Huye</c:v>
                </c:pt>
                <c:pt idx="18">
                  <c:v>Muhanga</c:v>
                </c:pt>
                <c:pt idx="19">
                  <c:v>Gisagara</c:v>
                </c:pt>
                <c:pt idx="20">
                  <c:v>Rusizi</c:v>
                </c:pt>
              </c:strCache>
            </c:strRef>
          </c:cat>
          <c:val>
            <c:numRef>
              <c:f>beans_yield_t_ha!$Z$2:$Z$22</c:f>
              <c:numCache>
                <c:formatCode>0.00</c:formatCode>
                <c:ptCount val="21"/>
                <c:pt idx="0">
                  <c:v>1.4717391304347827</c:v>
                </c:pt>
                <c:pt idx="1">
                  <c:v>1.4569565217391303</c:v>
                </c:pt>
                <c:pt idx="2">
                  <c:v>1.4330434782608696</c:v>
                </c:pt>
                <c:pt idx="3">
                  <c:v>1.4513043478260867</c:v>
                </c:pt>
                <c:pt idx="4">
                  <c:v>1.4486956521739132</c:v>
                </c:pt>
                <c:pt idx="5">
                  <c:v>1.4543478260869562</c:v>
                </c:pt>
                <c:pt idx="6">
                  <c:v>1.4621739130434781</c:v>
                </c:pt>
                <c:pt idx="7">
                  <c:v>0.64739130434782599</c:v>
                </c:pt>
                <c:pt idx="8">
                  <c:v>0.78956521739130436</c:v>
                </c:pt>
                <c:pt idx="9">
                  <c:v>0.74999999999999989</c:v>
                </c:pt>
                <c:pt idx="10">
                  <c:v>0.72434782608695658</c:v>
                </c:pt>
                <c:pt idx="11">
                  <c:v>0.76217391304347815</c:v>
                </c:pt>
                <c:pt idx="12">
                  <c:v>0.7052173913043478</c:v>
                </c:pt>
                <c:pt idx="13">
                  <c:v>0.76521739130434774</c:v>
                </c:pt>
                <c:pt idx="14">
                  <c:v>1.1495652173913045</c:v>
                </c:pt>
                <c:pt idx="15">
                  <c:v>1.1034782608695652</c:v>
                </c:pt>
                <c:pt idx="16">
                  <c:v>1.1856521739130435</c:v>
                </c:pt>
                <c:pt idx="17">
                  <c:v>1.1117391304347828</c:v>
                </c:pt>
                <c:pt idx="18">
                  <c:v>1.1704347826086958</c:v>
                </c:pt>
                <c:pt idx="19">
                  <c:v>1.1652173913043478</c:v>
                </c:pt>
                <c:pt idx="20">
                  <c:v>1.1895652173913045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4-46FC-AAFA-DA490473D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4795824"/>
        <c:axId val="9449471"/>
        <c:axId val="0"/>
      </c:bar3DChart>
      <c:catAx>
        <c:axId val="157479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449471"/>
        <c:crosses val="autoZero"/>
        <c:auto val="1"/>
        <c:lblAlgn val="ctr"/>
        <c:lblOffset val="100"/>
        <c:noMultiLvlLbl val="0"/>
      </c:catAx>
      <c:valAx>
        <c:axId val="944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7479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Total</a:t>
            </a:r>
            <a:r>
              <a:rPr lang="en-US" sz="1800" b="1" baseline="0"/>
              <a:t> </a:t>
            </a:r>
            <a:r>
              <a:rPr lang="en-US" sz="1800" b="1"/>
              <a:t>Average Yield per district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beans_yield_t_ha!$Z$1</c:f>
              <c:strCache>
                <c:ptCount val="1"/>
                <c:pt idx="0">
                  <c:v>Average Yield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beans_yield_t_ha!$A$2:$A$22</c:f>
              <c:strCache>
                <c:ptCount val="21"/>
                <c:pt idx="0">
                  <c:v>Musanze</c:v>
                </c:pt>
                <c:pt idx="1">
                  <c:v>Rubavu</c:v>
                </c:pt>
                <c:pt idx="2">
                  <c:v>Nyabihu</c:v>
                </c:pt>
                <c:pt idx="3">
                  <c:v>Rulindo</c:v>
                </c:pt>
                <c:pt idx="4">
                  <c:v>Nyamagabe</c:v>
                </c:pt>
                <c:pt idx="5">
                  <c:v>Karongi</c:v>
                </c:pt>
                <c:pt idx="6">
                  <c:v>Gakenke</c:v>
                </c:pt>
                <c:pt idx="7">
                  <c:v>Bugesera</c:v>
                </c:pt>
                <c:pt idx="8">
                  <c:v>Kayonza</c:v>
                </c:pt>
                <c:pt idx="9">
                  <c:v>Kirehe</c:v>
                </c:pt>
                <c:pt idx="10">
                  <c:v>Ngoma</c:v>
                </c:pt>
                <c:pt idx="11">
                  <c:v>Gatsibo</c:v>
                </c:pt>
                <c:pt idx="12">
                  <c:v>Nyagatare</c:v>
                </c:pt>
                <c:pt idx="13">
                  <c:v>Rwamagana</c:v>
                </c:pt>
                <c:pt idx="14">
                  <c:v>Kicukiro</c:v>
                </c:pt>
                <c:pt idx="15">
                  <c:v>Nyarugenge</c:v>
                </c:pt>
                <c:pt idx="16">
                  <c:v>Gasabo</c:v>
                </c:pt>
                <c:pt idx="17">
                  <c:v>Huye</c:v>
                </c:pt>
                <c:pt idx="18">
                  <c:v>Muhanga</c:v>
                </c:pt>
                <c:pt idx="19">
                  <c:v>Gisagara</c:v>
                </c:pt>
                <c:pt idx="20">
                  <c:v>Rusizi</c:v>
                </c:pt>
              </c:strCache>
            </c:strRef>
          </c:cat>
          <c:val>
            <c:numRef>
              <c:f>beans_yield_t_ha!$Z$2:$Z$22</c:f>
              <c:numCache>
                <c:formatCode>0.00</c:formatCode>
                <c:ptCount val="21"/>
                <c:pt idx="0">
                  <c:v>1.4717391304347827</c:v>
                </c:pt>
                <c:pt idx="1">
                  <c:v>1.4569565217391303</c:v>
                </c:pt>
                <c:pt idx="2">
                  <c:v>1.4330434782608696</c:v>
                </c:pt>
                <c:pt idx="3">
                  <c:v>1.4513043478260867</c:v>
                </c:pt>
                <c:pt idx="4">
                  <c:v>1.4486956521739132</c:v>
                </c:pt>
                <c:pt idx="5">
                  <c:v>1.4543478260869562</c:v>
                </c:pt>
                <c:pt idx="6">
                  <c:v>1.4621739130434781</c:v>
                </c:pt>
                <c:pt idx="7">
                  <c:v>0.64739130434782599</c:v>
                </c:pt>
                <c:pt idx="8">
                  <c:v>0.78956521739130436</c:v>
                </c:pt>
                <c:pt idx="9">
                  <c:v>0.74999999999999989</c:v>
                </c:pt>
                <c:pt idx="10">
                  <c:v>0.72434782608695658</c:v>
                </c:pt>
                <c:pt idx="11">
                  <c:v>0.76217391304347815</c:v>
                </c:pt>
                <c:pt idx="12">
                  <c:v>0.7052173913043478</c:v>
                </c:pt>
                <c:pt idx="13">
                  <c:v>0.76521739130434774</c:v>
                </c:pt>
                <c:pt idx="14">
                  <c:v>1.1495652173913045</c:v>
                </c:pt>
                <c:pt idx="15">
                  <c:v>1.1034782608695652</c:v>
                </c:pt>
                <c:pt idx="16">
                  <c:v>1.1856521739130435</c:v>
                </c:pt>
                <c:pt idx="17">
                  <c:v>1.1117391304347828</c:v>
                </c:pt>
                <c:pt idx="18">
                  <c:v>1.1704347826086958</c:v>
                </c:pt>
                <c:pt idx="19">
                  <c:v>1.1652173913043478</c:v>
                </c:pt>
                <c:pt idx="20">
                  <c:v>1.1895652173913045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3-4AB3-8EB1-D872E7DFA4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74795824"/>
        <c:axId val="9449471"/>
        <c:axId val="0"/>
      </c:bar3DChart>
      <c:catAx>
        <c:axId val="1574795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District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449471"/>
        <c:crosses val="autoZero"/>
        <c:auto val="1"/>
        <c:lblAlgn val="ctr"/>
        <c:lblOffset val="100"/>
        <c:noMultiLvlLbl val="0"/>
      </c:catAx>
      <c:valAx>
        <c:axId val="944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1"/>
                  <a:t>Yield</a:t>
                </a:r>
                <a:r>
                  <a:rPr lang="en-GB" sz="1600" b="1" baseline="0"/>
                  <a:t> h/t</a:t>
                </a:r>
                <a:endParaRPr lang="en-GB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7479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20 Year Average Yield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" lastClr="FFFFFF">
                  <a:lumMod val="95000"/>
                </a:sysClr>
              </a:solidFill>
              <a:latin typeface="Aptos Narrow" panose="02110004020202020204"/>
            </a:rPr>
            <a:t>20 Year Average Yield</a:t>
          </a:r>
        </a:p>
      </cx:txPr>
    </cx:title>
    <cx:plotArea>
      <cx:plotAreaRegion>
        <cx:series layoutId="regionMap" uniqueId="{A47F8B4C-AFA7-4F0A-9237-3CE6F849E9A9}">
          <cx:tx>
            <cx:txData>
              <cx:f>_xlchart.v5.2</cx:f>
              <cx:v>Averegae</cx:v>
            </cx:txData>
          </cx:tx>
          <cx:dataLabels>
            <cx:visibility seriesName="0" categoryName="1" value="1"/>
            <cx:separator>, </cx:separator>
          </cx:dataLabels>
          <cx:dataId val="0"/>
          <cx:layoutPr>
            <cx:geography viewedRegionType="countryRegion" cultureLanguage="en-US" cultureRegion="AE" attribution="Powered by Bing">
              <cx:geoCache provider="{E9337A44-BEBE-4D9F-B70C-5C5E7DAFC167}">
                <cx:binary>5JrZkt22lqZfxaHrpk2MBE8c1wVI7iHnWcMNI5VKEeAAkAA4Pn2vTB1Lli2fCkd1RXR36SKVO8FN
ghjW+v9v4Z9Pyz+e2udH99PStcb/42n59Y0Kof/HL7/4J/XcPfqfO/3krLefw89PtvvFfv6sn55/
+eQeZ22qX3CM6C9P6tGF5+XNf/wT7lY92zP79Bi0Ndfjs1tvnv3YBv9v2n7Y9NPjp06bXPvg9FPA
v7451e5ZPb/56dkEHda7tX/+9c3317z56Zf/+Ocvf9mFHz7mS+9+2PSnHsixevbP7vE/7cP3XfjT
q//UwuiE8RO8QIR/RpTEacJp/OUfevNTa031r3YS/xyLlDLK2W9PvXjs4Iu/9eWn30bot+YfDszr
+z1++uSevYfXev3/h/f4bkB/fVM8+vDszE9Xzk7aPMHof3cBzMoP+vFkRxNe5r2CJfDrm5v50XyC
MdPeZl9aMvvy6jdvfzRff5pAGL3/xik9fVyt2f7zGf0/2IW/GJ7fL+vvLnkdpb+xotDPKaecEwQr
5g8riVNKWMq/LrQvz/yyoH6bpr/ux48X0W/f+67P/92z/tfT8XWz5Y/hsXgNFT+KQj9s/S0K/KHx
ryPOb3vu+Al2cpJyhpngCHYwxKEvM/Zyq399/8swv33+4476MuB/usUzbL1f3+D0Z54wJNI0QSkm
Aos3P81wC2gRP8OzEi4SjBmhCBqMdUFBT9DPLOYIphnH8AVME+iRt+NrG/45oYSkqWCCJjQhiH6N
2le2XStrvo7gvz7/ZMbuymoT/K9vWEze/NR/ue6lxwweLxDlMU1xkqQMEw7tT483kBrgcvS/BlqN
DEfutvSPPLZMxtzfV6a9hqiezRHbtaI7KDE0MkVoPAypvUuXJE+b7cEk7YOrqnM+648z109x7S96
048S96jNBmTfl8pfoBCddD3XBcNeesYf+iGOM5ykBenbMx7x3PcayV71hQ3kWOIhkYHoe8xZV1C3
5p6SPY3W/TLyW9StH6ZtWvJmXcsMofAOLadDWNCxbprDoGyQkU2rIuoYPG/spF3bYuubg3ZFwqMq
0xs+ajQ80zWecq7aO9W6t4ky984lSKZLezL3+ho3/HHyq5V+2a7QkmmSRFKT6uC8GqQdmssmJYXa
hlz1w56J6rAl4mYUw76JkrOxw7eE6VXOLZlk0pBrr/Wcx3Y799bd8bjaTb67jcWSd9Z8UK6LJJvE
kxXLez0kB4/0uy7VpzGZ3jU4nKAE78faO+lq9X7mw7p3WH8MzM976yd1yhFrTnsmWjkoceNFOciG
dlgq5qNCc3MqqLibFnxniX232fVo6cqzsuqVrEm7FkxgSdmYb0zfJFVJjqqy5W6q0EOzTpMkYfRZ
ysYp26JVFX5p9yvjk1yX8kPgepa8qr2cJkwzGLJjcCTIzuL3zRBdDH0zZ2Rt1z3l6mmuK547kbwn
gfr9PIpw0IS7+1IMTI615g8TPFqmvm+kiBNaTMloD2Jbb8zWir2tWZ+rNKkkrfoyn1t91Y7KH5tG
32JIZ0kYaGY5XeXQujEfeHTR2ZHlc+fPbb3ii8bYqUi26KzH9bLfhvkBhS0cKm5NliZskZDonzEq
3W5M1lIOCa4OTaLOfdpfcES0bFujJLWtlfOsL8e1X25mA4t3Ze2jbReRU1Ix6caoOng6fpxacxgI
K+VS4b1l4yUnY5eRqX5QfqtlydN97Mxtk7hs0duHcXJH08zvrZtOuzbKYMrPwtTPcqRJxsqu3Vd4
LHpXP9iwXC+cf2w5emJheUppZWSzTHdp7d62xpwjbi6idDilUX2sojVrML3StCsGb+NDPMNrRWRf
9uFi1HEt+bJerkN1HZbqqe/HgttVKj/ISMUS0w8N5V4iQ7pckFjJckuydWozY9eTRPgdU+lRoDSz
Au3raskUCdmM2+PaplegMU8jNu5SgqpschuWYz9exkN8LOkWZJOMi7Su2hO2Udm7SUvelx/i3pw2
8/JAJnW+IIezSgxZS7urpTHbEbf9GYLtK7etPWEOlVlSJh/6dtuXrT9Jw3zp2/JtqH2meBxJHMrD
ki7nS0n3zQhbplU7p8p9nczHSG0hE4rufBreh6Q5rXR3Uyt0MQ2jyihi+9KXlRR63pWxuN50Nclx
FU/J5vf1uBSQx49unfe93kTWE7pINaUmq+P2gNUqYOJ8k43l7eRpUdr4cXINysrV2/28DrCztm07
hEqd94GoPLRsJ+Lp1KqyzeM+mYty3d42AseZsszlLlgtp2a+JLPv5Nw0z5FOT4a4e9dpRDLa1rdq
Tt9jAvsad+2ur4ZKDqyJ9mldcxnVIZXJak9M6IisMYeIxKZOcvKy1D2vZUiGoXDT9CT6IS9L6GDM
08Ju8S1ESys3pmyu2y0nTYNlo2PJSv5pi/oyGxuIWjUa5FRTK9euTGFOYOC6FN1P01Ak3VjlUU19
rrvOZMTx5FC6uQjB32m8HDHX6Dj2eDk143bKcJhz58ySrY297rBuj4SyPhODFJgwOac47EvunmFf
jHnatyGrVdByRP7Q93jN0zCS+3ZJ96VQZ6wRO7vyu9bQy0H1WnqMJjnp9QG18ZPvW5Mh29PDUiFS
UFXbPOIisKLHmpTF3CT0raJpejWbJlzUSzfLrcQk500zX9stmfZUVwzyGYHRVutCL5J5GwscWHRc
FN1uu66uh73mDOKSWMJ65kOaUtmQ2PZSj2N92S6rqiXd6jE3ODI0T0o6kxxpBi87iGo4DhVcVq29
GnO7bS7KGUP13rWWH/sQFNnFXWKLNXVpKqO2joqkr/UxGbCVQbWsCFPZZq5Z0x0EA3fsysoeFqLU
zi4cvhy0vhxIpaRNfXvhzKx2s+FdFhmRnvNxsletEEmBzeD35Sjswc/NnOMSflQ1HaWLRJxvwSwH
hGtz6Mo1FNhVH1FvyrwULd5NdSM7VPNsCLXedUzcRakdTskSx7lVJJH1IMIuWsneDWg7iBriCbP2
sRvTbEX+5a3wJR432ABVvGPryHcxx8MhxvVWUI6M1JtPM9rUZw238Z7UE7tvVV2fxaIr2mbSxe+9
zHdC6sn2q9OV+pcD/vrxPy77Z3Mb3PNzOH/sXz3Ot7bvP36zQC9y8qsf+oNM/d7J/p3G7wTudzr+
9wIXx/TfCdvffMA3Ofv6hS8yFmwsSFhQiQkTIPQQARn5OxkLwha0bCxIKig85JuOjSn8IU0hvhPC
4Lff61i4OmGpwJzzGDGO/46OpQnc6g86llMmkGAxAqSRYujG73WsnRQsuzS5DQ3oHqnTVsi4KtPj
0M/uAeNAC5/y9kJxYa/NtorzGbHlY2wCy6a6JHmiuiavRuIvXJiW93gp59sVx/iOWdLvxtmvR9a2
9cO2orsIVds9miuVLcpX12ULUYuGmBVqjRaI61O17vgAn03dhCN5yd/JFNozopU46UI5xTK0oCd3
deTGOO8xK4tBBZB7YliprJXqk1ybhH1gHVrGvKIb5lnLib/EzorTemCOy7L03Qkf57SVbuAhkUvf
b2LXcZK0WdymjZN09lG+VpE+xDQGVZUyArmdBdpfd8RwdQzxOD54jnQnB7rS6w4C3h664s+7krJs
sCW6ov2aZIGiObcr64980RGTjQnIySFetDR1lYcenfjRmn1J9AVovfi0pijv4n65mpN3KRlBCtRy
raNF8mH4PJAPTEXzdTXPJ5MXHyE2nRHji7I73aw+madwn3RxxprRFfOSyDh2t7EqP0VlOp0Mbn7X
27KDjDHhS0dFRpNGSUd8kuOaf8TxIiDKDicwVJeQ3W+XdOgLOo07NcxrsZaq+ljXrAXxLp4Yrl2m
WLI8xl34xDkk7B7S1vuFeRDj6XHGYF9c1UhVle3NjNZ6z4bFfjIxv+XGfaYbugeDdVuy+LBOqGic
2/lSNJmJ4LcBe5qPmtBJUg233krrdnUv+gMkSVy4iN7wvrtzHRrOajw/MrKuldTlYZhWGNNxzGfX
bPupowSfkhGi6GL1na/ndZYEs4pLNMe4KGcXf7YzzBeOJOVJ3WSRWhSWvCVGDo3ds6jL9TQeBxLq
h5mW68mS8KxRTrbTu6lt+fgp0uOtq5K8Mu8HFkaWBZAt0ncr5IVVeFwMvRLZElGn8lK5ZJOMuVJI
FpGX+Fuu44lJIzzKhQzddIaG2j9GcWKu/FTxQpCxOjKFUSNdj9ZGhsVoqWsAiMp3D1E1DBJPvWSq
CxLy3cWqGXxK0qukHlI5r/4wU/8WY1o40t2Qec27Ct/W2wxqf6V5wP31WLV6xxYPyiRt/OlIFgKy
Ub+P13rHMRulsKp7ETUnvoX3ASl6ZrxSh37UZ2RsOinCtmYdFZBEsJB+mocdNfFOeeYvusbFJxtp
BIjpyuYEhl/aKYrlkmzwg26JpE2f7DvsLwfUeCyXoTwz8QK2qGvPInAasjOuy3zUgQuJTJqrblxl
bavbTmlxNCtYNDCu1XXM0jLrGxhKwsW6S5O5VRJEzadWV2877Y5R+zmsDbprxTYUHRidB8OpP6Ih
PYAhfdsbindtxyE8EXRouiQfuRj38wLjEdczK3zdL9nE3ZyXXmzSR6rLthCD5Pdi5NlG6IEupdgh
M6M98TT5iMoq2Y1qnjLXb/j9uqQ3VWMOZRQbyfr6oMzyseqaa6tmKnnMc1XnNdjxWz+tkMK7Bvxi
LCrJurLej7TKhK+fShi63HeJz/uSPampOa5Dk7dKPVS9f6Lr2HxsjD/Ujg7SzThbhjErO6pzujQZ
jP+lpuOFQewminyfxdFEMkzHwyLid7GD7Rin9qCbUdoXa6pnoAZTaaVx7cGYkl3USdtfweuA+7Kb
vugYGYsa1eUhouNcWEFOqrBWBS/nQ1Kh5ECVfoj5ltuA8ftU4xlmPFHlXTBbdeI7pHadxqlcuLZy
CmV135bt23qg+xArkhP+PhEChDsS1Bz+qC4J6cl9P48Q1QUIJ41h71IFA7dy2Q41QIevUrNrJ/o0
T0MOoUeA1H9Rmn3aVpIsKjol8RSPj20TulOKxvARFN68yAUz9vRncSmaeMi7bUj2GunpwmrXiHNs
LboHRT9kC62jaN/F7KJN6/Gim4xTkruSXC0OhSw4h/JvqnJ2rD5NEAhE+UMx2cwtbEwf53VUablM
KZOIaX3YGgZwB2DX276qCtp1F7QMBzdW+7472GVqv6hKsrXTCAajkdxX03Gy84G0/PM3HVktLVAJ
v4hxpwcaHUSY652Nm3KXwLv4dNpOXTegKx8tWQXuB2l4h2nhD2EBNy8X3d9snsUSQNi0gUotpz65
j8a13C1J5/MQh5Dbys8H8DFlAcyCP1RxYx8j0m53lUh0sZRTd06Gpn6I9KyOa2OiPSW6Oplrq04a
nEYXUevW60iL/r1eeRVJBVIEsucqyuMrs6Fz4DfBReas07F5CMiajwrx7VYvpMxjvvjc0DLeiU6U
V6mI25ybuDx6tG5Pf1/hnv9WOPpezr6y0W9a9/9SHfx9oeP3QvhfpBcsV/zvBPEPKiPftPF39/iq
kUlCMOhjoLYJJzz5qpHTn1PQzWkMdaIYVGr6O9aLf44B8UITIYRCI/2O9VKSJCiOIWdz0LaC/R2N
TBD+k0ZmiAoEQA/KUYKSP2jkScwGcFF/N+vyrKNdJrbzMS53ZMaPaKRgpHwmbJkbVhfpSi6HCWdt
Gp1PM8spjaUVt4OiZ8SGXYKAARiP5NbUWWiq86FMD6mzZ2XTHiwdlh2l3GUNtXu3QESo/MPi7ipm
T5d5OG3Te2PqXClzrusm183bELVTHo1ZbS/jrn4SiUmyFk2rrMoLASSa6fuSNQWLk9Ok0pdRC3lR
a2Ciy2B5hlERKe52YF8vnQO0RlIQu2bu4x42PmQ7GcVoy5IVgFEgBbLuBpfd+0gMp8hFZyuO9hgc
A5BMs8NiaY8N41ZGbjqu/eBlCXHjavLovG75ydThj27trsrVtXIaqkscl8Xq8c3EOjD0lYWkCgFf
Arhvs5VFu7A1W2YDu+aE2Yy3mzlsoEdRGiKQ8HhXiauYXk2jBmZyyvlbX9siVeNumM2pG9L9jLpr
FVzRlOYzdcsRhQResAfttyp/WAw7bMt2nqbsxJTJnkSQY/zWHbqp2iMDkxHpKxJwnflkyMkynpEw
nC0xOQF71uSYREtOwaPlFTiMhi0OsJe+nGvHM1oCxm9WiI3T1p8tjths69AhSkoCuBd80qae/QY8
qK32IKAvZj9dzKrfk6oj2UC6RQ61uFq6cZRtxTaJonSn4rqoDBDJmfY1KAdxaiFICrQeiCd1kYj0
blbsbKYYSbeRszky546VAMpLIFz+alYVknbGV5SYdgcJ/oNGtpQzVY2cdXON+uGSbeai3Ng+qpqb
VeggVdPsxUIbOZFtZzS+0tVSSlTB8vF22REK4C7q0Y6Z8pCECMsJ1cd44e9LtO2rheTK+s8CuhfZ
8rJrRyhDmHemTWgGi22fTOJUD24XpdW1h6xlkuZ8Lct9EpGrJCQX8VDddW2Hc1K5WqZld4lXesHK
7RnF7blN7du46qHmoZes9XxvyvlEuPZE1d3FmJpj3KePqomyGEG5oATNQdL12NP6ufXxZYoCl2PJ
r+a4udEbIUD41P0sAG02w0lp1ZlZh8u1NIWg7EZF9ZI1Ft9svPuoEm2zUa0Xdp1PmVoufB9dQwY+
zp48d5qdoGW+GADP73BI3ikVTgebxlnlRlMMBmRJGkDP8cmcmqVa5NzTs2EATkttcBJIjQZlp7vD
6Fm29KvKpmF6C6DmRimwJJVWB1UNQPiceiZtLU5DAsO5TheRiG6HanniQ3TWID1kyPh13+CyzqJp
UoUQ5l05C5KzZf0EwSs98wK4KFmWrsAewGjDTJRtGAMkEzh6O21M5FslqlxtZMtKN7xt6fwezY2W
kVnHfOwE3tVhtYdqbJ9DFHU70aQ6b7xIZafLGsi6AXIJMD+60Tye5d/Ps/8vZNAfJFDBY0hxf10q
/fPhgz/lzy+3+Jo/ITNikiLCEtjg4lup9N/kT/RzDHVQyJEI4RRBffM7xvRfyZ/s5cjGHxgTw4Kl
FDAXAwgW/6FW+jV/qhSXx4QP90kEoHYA7QfVJGZky8hw9TXxxbQL2St8ec1uQJruXLlVBUqMkD0P
g/yaykgw0/EVy4C59HvdJTXZoaplMu23Y4OGJe8dkkMK0c2Ahy39DDDchTaL5lRlJR3BCLASnQP4
PZnm7sEjqMNSNhgZQ4YsOsgZ2SvR4QE8w9wIkY0jhKPVsYcgtnevjGcQZSI7HN/bjVT5wHqVKT2d
dFzHORrRhV8ml5uq63JmPQBlDtXicvzUh+bKW433Il3AqKXp8ysW0sNkzr7ioCQldUYipLI00EtX
m0fgQg2er2j3rmbqk00Fh/HoIXF8wNX7kTsnTRuVQJfAKNR90+z8NEJ4WeozoONaJs5daQgltoHg
+MqFygb4eAATkMdjcqa8acEb40V6g8gXOtREqSpsqredKBe1D3X7gUf2Eqt613qKsilKrjGqH2o/
XozG7qlRH1pFoUIWljL7ATNaUvMusTPKBhEN2RarBMy+0XktNAQn1xd9FwzERm1ORq27syUZTvEW
7H6aRchUktxMlVdSdNH9C0gidX0Nsxhk31RCRuXJN4iEwZvlPVSjMrcAQ8Fr8MD+VJXXAQYNtOPH
V6zUWlxl1baY7IUrsSoSOyZcnKWDm3bOj9eiWptdzfQh6igropSBAayW5KA1iUdAlX+JmFC/QJHi
lS1VkwgY8EhT2FH1u7mrtzZL+5L2Bw7aJxxeUFISq/0XjiRWu085AqDyB5YEpYULLNbn3qq0zr4w
Jbyu5AHATXPchsoVTOPrMC5hXxmxyMSuLk8j9XZd08MET4ClkN5Q38UHkQScQcE22jUopAXHJeTb
cQJP5pc89fOD6Q9ublkeIlpdDHZ0kO4pzn0t1qKupiZnSdLKKGlKiPoBdOMLtQLudTOsACZNOyVH
Eja1MwmZoVijSVYm8ZKXvT5M83RlE8jEw4rudZwWLbXFC9pKMd53dejkONSPBuPP86TPWmeLweoz
3o9515e7UoiLr/jLDxuUK+Iz2ijgF/O+VePdCw3r+x6q+iL5QsO6ZiFyHaJXFFYB32lbepv0SFZt
i/K6VFmL22s0btk3JIaa+NpHoH8YkHFn+X4OIeMMdtg0NsdW6F6KartoO3vujM08uMrUdWe1x6fO
ld9ztMHOdytV4Ed/hNIEVfdiqd9+pWlutN1dOZUacJsPeW39ChQO4axrULuzov34R5A2xg2Ukepz
mrQ2c0Nlsnj1/QHF2ycNRx8WnZUeP67h3UA+R3iBimuVey8g7wNa6OMDYQKQ4duGFgztx6Y5fSVv
kQ8C4gmMZOrDR5Z2oBlnXBUJTQmcUuBEvjK4FnU6t0yQYmamz9maxF9AnG6G+XR1ZpAGDxsEsvHT
unWgrEtQxNottjAhhVMCL1QOLP0IEB6q99pVE5Ds9ara8JXlrjrypivPUWW6PK4oTEZa6XzpyL6d
m4d2qj5skbmvfHUSDcRc227u926tKjixEZ2PC4G/uDSfaVil4T5kjJvzvnUfSo75Pl0iC6dfgAvo
WlzOPYh63DdpwQZP75FLoIzrUXkzxanPMOS4Sq6zuvS10yeqr2soorpo3rXTVF8T1F5CTeWabIs4
zD0M3dJQwFvdNr2csrizC9VHxBK/ZxY3p7GBPbQ62xUJCyJLsRNZO8NCYcGPV1FYlkKlwe8XsAyZ
2tSUL4YO+wHIU86ov3cQ3uVEPToqHJRcWiBu06yiQ1XXHqzixDLQse0F+JQ2W5BBF4NgTQZ1agzs
sq9gbe0S20qfiuhawaK4T3vHR/lnxzAI8ZEytv8fYhqIGQDJEnrym2nYos4U/38YBt7rD9+5BWIb
VYC/2vK/6xbgUBS9HUddnr7W1RKoTecdSdQtnBoaL/7aF9jWVbfMDf+zfAGI8L/2BbcvRxm/P5X8
I2MA9/hqDKCim3I4FxFDgZfR34M1nADMEozzl1PWBODZt+IzHI6ME6g98xgnDPPvjMF/pfjM4x8Y
A54yxIUAVIcAl/xF8RnC+86s9L6sx0dC16tE2aoYqIEqphJnS7nexpjQfDZ1LV8L02lYHkdHzxpn
Rlmq6LzW4XHb5h2Go2T5yFYi+83esFgVW2IBh5Aoe61eswHO5jSN/0AdsAnXDPJbKTsK68Vgep2J
lECVLsAhlaaM22zsgMv1E5xrnOn0KfZYFBHDc1anw1U9WCIVr87BvsxF9Fan2uy2DkQxbKm7qOme
sfM86+NQLHELNY0I5WQF4ZveefNpG+BYj7fd5y1es3SmZtd7elgpmBAlWiptNT/Sqb2YAb6sS2Jy
0vmx2Aw6N7EB0vRSO0/6spQ9HHrbORAxIK6gpLuuxeIMSJTO3yU9nHBst7iFgz7d6Wt5nZqeSrOg
qnitsddxTzLByQLErt/DccrLZfOXdZ1AVWHqMii8uKKt6Ye69fcDEltmVu1fRBuUUdF0F1Xuftyc
htNTtJVr5U9IqVtZNfzYQqWqki2BdN6g2cAxUnTKDBQRvOqit3U1XJDa3APNI1DZgWL+tAL/mCxZ
T8r/Tc6ZLUeKa134Vc4LEAEIMdycC6bMdKadnsv2DVF2uUAggRAzT3+Wsia7q6qju8/NH/+5K1cO
JCCkvdf6lgIfJ1TlWRQM9aZTTpG4kruhMCwHqyrZjWZG42qumnhCoRcZZrMtGsimTmHCRG4ljQy/
G8N8Kq6hwa4RhXdQyMmMhzXHjWoNCIalCFc1rNu1HhtURqI/0MVoQ0nIFLeyk7EQ1ApP/EDuFXAm
iLwelW/EXIslRMsmCq5qUrk4e9E32QFI4CeRMycOoLeU8LYSoifVNZOQYDLRRh70GddaXzzMwHIB
AQX+zN+3ZfXKtK4zdWwbcBfmsyOvB0g/XNlF1EMMqihsnQzmL2iCScErzOG/QTxqtIrESrnPTrpS
Ybthw8066VV7FBOFoKr67UKMMgQUdNFD8g0KvoEtWYdCDHuvGz/VIzmIfN3I1dmOgXnmBXxTt97D
sPZ7i4yPo1mntB0vPdsvooF1KWzJLAW9tHXz9qPVZ4+OZ55VjRuEa40zJsYDK8p9sXhp1jUvpFo2
HbSLcHW6K4icV43XJUL/omIOzubV/ISuqPKnhK3QPnEqz5VrHPKG88hduzthL892wT1wbCwJpH0F
UvUFgwIYXGuV4ZQba1j67YesBTTVTDfEm3d5YB9EbUY+rSEMejI2enUo5PwEk+FGkNzYCr+qY+Wi
nZjWBzG3j2hyYEQGQwq38ZUJ2UWC04umJBcDtP+QDBN42/GSLv7NYhQwzPoStpyD7tua1O1iFijg
FJ5Q1tioh0mwpo3FdpML669jzWchMjM0p24O1Ujd2OvWxzEjZuKjy45rN4AhBUozNgEZRrJF0dja
1XaQoGJybvkpafEczbP7yavz7dKKYWMF5MVS65306g8+VP9iHrsQqBpwsBFoIYb8kxi7OhVtNod9
3ghIJwq0ylodM28sIqRWntrKx8Aqqixqmq5AZ7N+dCsgi8qcoiaozePMHBpz0IiuxhIhegTRoFFF
paFFMIXbRWOMDnhGIPlhOeZ2WIJ0HG0fU5WGH5thuamID9KiHqEHqrgFJykhsiZSo5MtHTIAksAp
4YlMsdCIZY2mP9PQZdGCl5EaxOx5DZsWbObgiQKPdPDoFMXN0E3Qy+vqIQPP6XTFq60Bz7Uejq1G
PnMNf5YaA83E/KGS1pQ4hsNjqB37AcwoH5ciHkCROhonnSr8wEAjpoOGTQd7/rhKkojlRphNFVka
S2XgU/ua1lGjkdW+GfyoBcXqg2ZloFpHpTZoX14M0x/CANxrh9EkZnDXiKxs0D7hooORBVt8PYCZ
7Qb1GIChLWE3RxWo2hZ0bSNZ2vFxE5hkE1TTOQGFm2scl7Yq6sHnFvNwDMDrNuB2XfC7fJqyCLjU
mQTHHFpgfLmXLdoUvTRg3wZ5bUeqLs9LcMG+3+wpOGHgo5isNTpcgyEuNUwMYawPV/DF0IKPkwaO
JZnROoFBHsAiu9y7HMEm86yLiJgiCWY5AGvogmEmRKUNmGbmoKtwYIZ4s25DFhFzDUAT52ntYWKA
SnFNWBvgpGH0Pc/gpj3w070GqQ0Q1cDTNkDDtu2Sm6C/eWLa9qWRLREFiw3jZ2+DzZYjP/c1qw1m
u7ACULiguOdqfeHCeQbUf9VqyhtrLc+MajOCH5M5yNPalgcbA3Ui/b60gCyDGIdM/8RBkEPuujFA
lDONljtgzJe5FZEEdT6BPl8cCy4JePQeXHqnAXVIQ07oLArqOOj1fMVjPZBgup7M/Eg14o60YREu
xGRhD/7dLPNzpYH4zMdQz0oHF8uYXwsFgS1fKzToGqUf8+G+0XC9C8q+1Lh9Y9b2RTO05xlpKCYq
ZAICDtBVY/qQQJ3IbqbrEgS/xDDfzWD6877MYnbC/LNVxh6Hq+VP0/Va1822Gi0Hcw3cPQUnIARN
6t4Le6BhoYMEo44UeM3cbeouexx13IAgd+Bh6thIHUXosHRAInuUBmgchbSC54DPoTrAMCtjxMyU
PYF5G0OlUw467uDr4IOtIxClDkOU9nLfl0WW1mAkdwsSE04ptsQy5sSu9DOdg5+ZxHLAWIfWMDt7
ax3v7NGXSamMPrSqMYcRtkzxMk8vfrWq0FIi7ewFtFvfO2fjXJwH3rL/4ffPtHjOTAd8unOwLIC8
3urWh5P37zF+zUbzuWyJExqOJ6OBtntmUR6ijgZyO5IPztKv0f+SZQFX4fetyZ7lHzn7V4SA6q8N
D3z6e1OCkJLvBmgxtKOvudevRCzcCh2l8h3bs2wHFf27pgQvAYg1wak6JvHfuf34KiQlAoTCsDgD
sf0WQnvHIyOe+/Xvt8EuLPjvzArfMgM0IpaL9gfZFIqU1/ueZB4h+nM3uwFD+TS2U0ycJu5MK/Ea
85pDIuVOF7rLEM2ALhdLxqi2XtwMiqgi0IEnsHgWF6kzm+waUB4E8gW6l5TFzofK4i2pQZf8YK9g
BKQWYhTE6YiVaxCvwn6ZR3Y2FDVSDT6Z495ZaQQau4snrej0ZQDBWas8TkUagOTr5ULYZljdDc2c
627ub4dzWa6RhVxyWFU5sE4e+l6HqdDid3wh19OAZoCuRIZdJW+riaDeWbHeMjzJdmeBsqubNVr4
+uqK1Y4p6bemovie+oMxTuc9tc99rJ2ta2OCpsuNYTXPTS7Skdg1yrmSoRgANeU+IfF11ZPyrLPd
s1xHIkyZMEveVK63KYiMikkciJwB6gtUpnC2wwkfHqv20MnlwS6EBYx+NZO5gpFYrtVVb8G1Cdgk
Q7CRid9aca84QkHeLmPGlihotpMrwsWf2FXum9N5Ny0sDcacX6w9Q2Uotzyb4iLzN0yiZgev8JEV
1RLXYjofwN5HhVFDfB1gSROjSJFTJmHrTymK+81CsnBoMDsZzwpKPzHas4KXYenIA7rU1OPOlarc
uJRubBg5sGIRicKKOkdF0vFjj+1LCNMD/QiM6ahlyIofBzIhENZExG8Txxe3Tk8PNFBhbwDkxw/0
yCdzuJyaJfEsxMNkFftTn+QekjC9fdmWmAZRDAdIZliWitD9P4ieI4DgpC2fsdzQQ15c8wLNEEMx
lJdb0twoSW7byTwr2eel0OkAFMLjRddKXMApHZoi8vGrOnCaDkfL5o4JXaB83omOXUBtDVeTJKQ1
Y9dj6VDmR4dqq+G1m9szrGBZOUXKo3GOq4qk2kVZqpjKewf1v7MEoQs8Bm9JGPoCF1XUVNEoB7vS
S3ZY0DfUNYrjtULakb2CbUvNGePNjMAob0ZYamVFzj3WR9y/mVmZTo54nWovRY8VNcK6HdGXDLPx
AtxtW3BIxOWSuMaj4Tx3dOcytqvtLgGkTTseywX+Ahocwms8GTKSpUDeot245rMg84aMt4COzlar
i+3FO+cAtnkgE7/sExgI1zlWCJPjUUEvBXkVSmmLh/SpzEnC8hqdchcrMmzFgjs2FMdlugcHcTQ7
87Wp1WYQHRhesq3tz3hMU7PLUpfN4Zq3eAR6K4VNeGFUiOGtKhYTOePms2yeqjV7aAEZNMVDVdF9
1nrnzXqsENfkpAwHf70IrGJPVHGYZ0CzdAIx6HwAp3i9jH5S1dnO94djl7MNBIp4BtggWRa5bgsx
4bEeskjlPAanEFogx+HX7jLaxBLQNXxDLL4yamSd1mWRmKzbFSJLe+DjOu821k7Iiv5Q5PQuH52I
gGP1OwPRm4ND5l1lsoQGZ5R2W6MGW9t9EKOjo4lx5z3MZAltNUWm26YNJdDQ5S4HvuHlfMOzM4V+
uO0RMxrnNGD3CChEK/1QZQPSRc62ybMtCv7QEtNZDSw3w4RalG3qew9uyW9X3DTcvFQKZGS95thk
9GzsvaR3D7yn9yYqiaZeQqsZMNQxwDC4DY/vynw7yuDCB4NSBB9zgyQG1BVb1CjRLqm8moRKyoxd
FXqWqLI9ug3kEb1QifGKIx3KKmfDWY3kooz7Jo+pLWIxINXbuTu7Ms+b5rJzqmQAzViggc8nJzYA
y7TongwgW0Oz7zV15UOHbc59i12jL8KwfiVZm5Z2HpYTCGXSpAiXwn+aElWg4B4WKCVwhTK+BbKT
iryEo2egHTOjcp6vQddervOSyhppNh9VJWqhHGhP545NSIetlxXXAbgfVexAbSf9VIed6oHzd8cB
LJbblgiU4XF1MlTqbotga4mly3/+/18cfSkWIF9aiJSZ8H0oSpbfF0kXOqb+O/32l9/1tmRCtQTJ
FtEfRO3flEwO0A3bh3SKlJEdQOH9oeMS04eMCzTE9ExYpm90XGyVYNmAwiAM+1/oyb9TMxELh/kj
4IGoEuovm5pAMin40LchIoH4syyr6abLZ5UyvY6ia8tThrU8zq2GQq2DpCCdFjG5ykR/uNQ+HiJG
gnBg/Z01LJeCoIwpq5Ze6uV5o1x1EINoztgCrTJzMc+irxKhwymUUoo8wDoh27hK9byiDpG6ILEY
sTZU1y0zChi4sWvkLgb+hVLHsbiR1D5RkafrIRlAvAqg7baFy1BJGO0m195akAF2Ytpvywc4b672
4IR24zLtyxHkn6JVe3WWdu04hIy9rZ08qT09CXNv0S7fcvL7tPPnaA8w8KcrHP4otDs4ap+QnSzD
XruHS1ceyclQBNTSR8hVGNe29hv7wSB3AuVKMms30s2zo2oQvslOTuXJs7T6JxcmZqPdzFn7mlKX
FtlCrwxYnp32PqV2QXMFPzQ3jZ0JgxR84xOl4n6BcWpkXhF3gQcv1W1iWosRqy081tIQUF6+pyGs
kd38IQnRVE2Oi7+I5EcSoiyQfAoGb0Ss2a5ThyHR1YIvzGX4PRlhcogcwBbbN8mIGtrEBehNC7lX
QGzuOICvQy/pEAOkBB33dKlYVGGiD1dXQnewu2g21cfaWe+ye6XinOzXcUzdz22QIDCseoRbyzRI
nbP8jC/ZcKFDE40/IaFqIAnM2h/hidIVl0EpWeyN4BcBWoAtWIc15B27c9z59nuOogF+e8pQ8Glc
Iq92736EJxTQvfiUmjB6HiTz7KHo0kkJu66rc9Nv6nPaZkicUCQlFtXNyewUl7VCoOJ7UsI3oV6U
qrYeLCghCHfb04ERyAmdAiFcZQpJoHrfLuZxqdzPtp0HaVBlqOXt/ACdeI0E9eK6dJAE78uYMZB+
p1SFv/IXI0fIrZDBjnvDjilAk5Bji7AyB6yNVvbQMY50AAiXcKLc3bc20jhDu6BaOyV6iQ73Wtwj
CaK3zlbp6K+JpsfrzHulQ8HMgPxNpX0E3nhrqSAVC/KkyBH7OlDcSESLe2SMUSYgLmBLJCB0ABnX
+XXUkeQOi0/ogYDSpRjXsWWo+le1B7DT0ZFmgZRgr0POKPDNXVtPu6JubwPkoG0diC50NBrCShe7
Oi7tTTAr1oDGtRYwW0w7VEuaI7TNWoucpZY7mZ+70eK3T4GWQpdRHOFAiXAOEGYS1J2R7oJ0SqCh
Is0AgknLqr3outCD0hqM/IMJ5XVe3RdoRcPGhSY7QZsF3JCHRgW5Vnj9GEoouI2WcqtSkYhqedfz
mID2C8l30OKvCxUYYrQLTXKaQ9stLHRr7eecAEuroR4LLSMvBkojY0BNPmuR2YTabK05Sg4tQM9a
iu6d7CaANq3EcNdrsbqGam3n3kWhZWyjdF9tJPHbk8Cd948UincH5ZtrCfz/ziL+deubX+Z7v2/d
ol897dlyq6ERqBG/2wPnd2/6Jh38+ov+aWD4dLTTT/mzb3izO9bf2MsI9cabS/PPzuvnCPXP3/Pu
l/+TkMhvLsIfv+rNVfg7e4T91cvwF67V99EETJN/Oo0j9LC/Gkm/e8O3UfTz61+vot5DyEau/N0b
9Q5mX479xdbXf//73eU53ek3L36786fjfP341xP8+dDvjvXtrL7955Zhfzf1UiynF5avP/Pvbt30
ux3q3lTFf3agvwE4/JdH+kt65X95jOSnPeS+3Ll3O15pEvzHDf3Dxn5/8bL9g77iT0/tVyPo+yTz
87j6Nnn86mPvHxr9jhe95+K//wMAAP//</cx:binary>
              </cx:geoCache>
            </cx:geography>
          </cx:layoutPr>
        </cx:series>
      </cx:plotAreaRegion>
    </cx:plotArea>
    <cx:legend pos="l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" lastClr="FFFFFF">
                <a:lumMod val="9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15 Year Average Yield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" lastClr="FFFFFF">
                  <a:lumMod val="95000"/>
                </a:sysClr>
              </a:solidFill>
              <a:latin typeface="Aptos Narrow" panose="02110004020202020204"/>
            </a:rPr>
            <a:t>15 Year Average Yield</a:t>
          </a:r>
        </a:p>
      </cx:txPr>
    </cx:title>
    <cx:plotArea>
      <cx:plotAreaRegion>
        <cx:series layoutId="regionMap" uniqueId="{A47F8B4C-AFA7-4F0A-9237-3CE6F849E9A9}">
          <cx:tx>
            <cx:txData>
              <cx:f>_xlchart.v5.6</cx:f>
              <cx:v>Averegae</cx:v>
            </cx:txData>
          </cx:tx>
          <cx:dataLabels>
            <cx:visibility seriesName="0" categoryName="1" value="1"/>
            <cx:separator>, </cx:separator>
          </cx:dataLabels>
          <cx:dataId val="0"/>
          <cx:layoutPr>
            <cx:geography viewedRegionType="countryRegion" cultureLanguage="en-US" cultureRegion="AE" attribution="Powered by Bing">
              <cx:geoCache provider="{E9337A44-BEBE-4D9F-B70C-5C5E7DAFC167}">
                <cx:binary>5HxZk5240u1fcfj54taEkE6cPg8C9ljzaPuFqCqXhZhBiOnXf7k9tava7nbH7e/2dZyKsF17g5BQ
kitXrkz874fpXw/F4133YiqLyv7rYfr1Zdr3zb9++cU+pI/lnX1VmoeutvX7/tVDXf5Sv39vHh5/
edfdjabSvxCE2S8P6V3XP04v//NvuJp+rI/qh7ve1NW5e+zmi0frit7+wbFvHnpx9640VWRs35mH
nvz68tjZu2p5fPnisepNP1/NzeOvL5+e9PLFL8+v9bt5XxSwtN69g8EefsWk8ANJOPr4g1++KOpK
fzpO5CuOOPcDRL8c/jj5yV0J439kRR/Wc/fuXfdoLdzSh3+/Gvlk/b++PKm7Pn3sqhdnXT2Y6gHu
9skZX2/DQ+2q/rC9Gnb615cX41317u7lC2Pr8OORsD7c5MXth1355all/vPvZ1/APj375ivjPd/U
Pzv04jtr+9pyT07564aTnHFOsf/EYBS9Qpwx6stPBgV7fm2wz3v0/XV821yfxz1Z8/9nW/78Oblw
93eD+3z/f4+3gC8wgQh/sungJZRiQn0h5Mefz5N+9JIfWMh3dv3THTy5s19f3j7a/o9d5POMP5O5
Nm7+W6GNvPIJ8znGwfegLUCCS0H4N432p8v5tsk+DntmsMva/RmofRz3M9nrZL67N+nf7V8s4D6A
13P/8g9m9NlTv/qRFXzbSl9GPjPUn3vWl5E/k6mU04/2sYPY+DXuP7l38lcDEHmFGUUy4Oyb7nUI
REIyn3EIUF9HoM9refGZ2Hw+/E2A/rb5vnGNJzfz68v47s8g8hvX+JlMeuzSu0r/rRbFr6R/sBf+
hIdSPvfCgADf8KX4Dhf8sKL/G7t+uqmvLvHMrD8ApL+/xs9k1gtXmOpd/Yc+8ZcpfkCB3/sSXPwp
tZciCFCAPznwc6b4Ayv5tnd+uYdnxvsBav9l6M9kMwgJ5Z2+u/+b2QsLCKYMo0/eKJ5bzxckkAzL
bzrjj63p2/b7auwzC/6A+301+Gey4f6uO2S9f6ffHQIkZAoBJt+zIJU++a4Ff2RF37bfl5HPrPfn
5ObLyJ/JdOu7/LHK/1bnw68OeUEAgfCb3AbyvUAwCJYy+Gbq8CMr+rbpvox8ZrofgM4vQ38m2+3v
5rpa/pzF/I3CzJOdBTVpb7rH9M+fnv/FFayNhfDxd7NzjkEfovx3mZRglCMh4PuvWfkPreE7z+yX
5T/Z2l9f/kC0+G3an+mpPdF1+Y8+s+u73pr7P2eJ/4sPLcR5fdffdf+o54AqeWBe1T9qjL15cLnp
/mlrdJDjV/ofNcf6zt79wFP5VIf/k/IEUCSKAv8p+wVxAeQgFggBOc0TGPuwgq/yxz/QO76DZs+v
8AzU9kbfFeZFCPWX31cmPm7AV9P/TKh24axZ/mYG7PuH4hL/TJOeWhFoFIKDFIvPOc5TY/7Agr5t
w88Dn5nuz/nv54H/T832fZD+4hoRIG38oeb3Vd3pj49+2BkoRD4b+slbPmptT27z895v3/36kiBQ
Wr8UEg+XeOJln4tBH53ry4BH0Nx+fQm+CVUQxCQ4rcQYU/ryxQgFC7iqeCU4ocA9MBJUCgaTVIdy
34c6JGLwBdBpCiN8+O3lC3tQzeEYeQVnByA7Ec45wj4nX8qsZ3Ux67r6shWfPr+oXHlWm6q3v75k
AVyq+XjeYak+F6BZ+gILH2Go3UoCy2ge7i6glgun4/9TD2ky9zK47PPUt8rIQiikE7ltm7G7IaRn
sZW8OEm5qM+rZRbHI/ane1T1fjhkCY2CtMwj7ag96fphekOmZLycCSJXfk2blRvtvPWLIrtZZnzl
Yb1c41Gn4ZRafZ4UbtmzHvlxOnvToOig5xVv4XOV5f2WOhaEwdAXR9SkYlf2yYBUXxiqV5nXORQ1
xE/iNu2H17loZ6ayNG2CyFSB/9Yv8eQizRbCw4JTe0q6Wuyz1u+4ShJb7rgbZaG6lveBmppmEauS
06AIUSHzTrHRetGsPbNBDDW5kj6tZ+X3rDkvacXTbY+cu7Ecm1K1bGbn5ZgHa1iKPS4T5odtneAz
1sxB2DM8RvXsN1s+Gc9XedXjTrVoMqrKdNQ3eGddXa0Tak4YT9E+YzgqUTOdjcFrSd1ZbzI1Z96k
eNu+b+lbP/XGcz2Ou8GK+y6fj2hl46TcL7XZjUN/HZQo9HPXxeMUKIS6S5Qm77xEDru2G183dVJu
XTOQ046JkAV5qjpqg4hk/J6gSRzZvt3BVp2KlF1Osm1iNrhV2o5zPCepvs8yv4jSRjz4JOvC1A+m
O1T27zi3ediUEr+ZfPvGtHI7Em9XdjpXqU6KixHP2dpvp/pdhfglr7r3bMHXArPLxEebecBx3nUr
m4g8rDz4rSWWRc5QNihm4NJLUnerrBHNZi4TEnceu+BNedWVuD3KyHjn03nWyiSbdphhT52Lxi5f
1kPJKNlTl+Vqqs2VzcZ5VJT4mis8IhInY4fe1yPYi3iK8SDLQy+dUqJ4QSvV5vXa98rIDG7b0j67
GVky76aAh3naqWJ4PRQFd+884y47HUS6etP6vfPDfrBM2XJOVT0LS+K2SUU4eaxLoyTtgkX5fpcI
5XsUV7Dm2e0q6RGnJtqWwxFuM3vnoaA6s4PmsaBOb/2U4Fx1DZ5z1U+VUSaDTonUljeebltFhkb5
admrVruT2fjwKZBnQdZKNc52MzJ7SwiLO1pe0HGOSk0us2VUbTGzqCfNudOFWfmTRcqXud07OtGw
YOYNmrMVJ75Tok5Lhbjc2QLuxzXuqLJpummcOaIuL5XolzksmTjKORHKDmO7YhVapda3J2Xeod1C
cxHmRNcRhe1X9eAhNQUL/MWWQLG8CdYlsactzi1RU5scVWhioS2LI69felVWXRlarxziwKtklJZu
VlmtL8vUiG01T+TKK319jnyZhE0OW0m5mFcyGItUSej9KIy+LU239Yr3/Zzjq0IsbVy23LupOLNb
3MpN2rS3TcXIqig5wBPFm7wMIseFW48T7AfKRj+2WTOFA+/GKLFiUdZLy3DpkW2VFY6HC2UbNiVi
hasRr6llwT1OdLBy6TiEXbOQN/MkL3RebRIPVcpvsk1aTfe6zM/rdGQKmk+iNIuytO4v7TDLcC7z
Qc1IaOWXSbZ2TIfCZg8JbF1ky8BGTeI/pEO+nds8KtL0Rjf2gc0uv88ru8k61qpuJOHUujApmYnY
lIew/6eGuZMK+xeeZ5sQeQMNCXObSaDXqAN3RLLemNypmoANzDhF+ZDUquqKTVUl/kkWFM0Z3E4X
TvViTkqfujjDWbLxmBvjWtCd7mcd82TcBBoHG5aaG8SXqO4JeSMNGcHiQZpc9dWid7bE6ao0RKqJ
m1oNfaKvi6S4zVq27lFKI8rfAPMt1YgFqzYNMTSJAWzZbQrx84zShl43owNUF/oeGwK+y1LYuJmr
os1aVS/BsGZG+2FZDOxhHNoIoEekivS+t21koRWdUm9P0YDcXZH35Z5h19/XEx8nNRHff6iIV7Eo
SNhII2x86iuRozYqlzZYG2yGk9p0uTgmdY2vXR604cQyz1uXyD8pZOZOyqHqUsW7hJ5NHe7Dvutw
BMgtV9qbu+3Y+dk+wIkTqqUaQEPa4qSrxnQ1VrwMvXwswDEtijJPGzUN0lfYN2az5P68ngQLbhut
Y1aWJyzpN5AYrZtyU09DscEkqzZ0KQanBoBAbvWwHepxQwv+3pN1u6cTQpGeCj4oOwm3Mi3zNqIf
s1WN8mQVwL1YOSz7rmzxmfWmUPMRtgDuYZj4TT+NIyzINBeL9ZFK7N2wZGaVDE1w7bk5WU1BaaMe
9X1UaztuMmaTOBEtv9Eor+88WixXWgQmnpKhPKZtnt14Zky3c155a0aN3o1Zne5yIr0Tr+jmc8+I
5o2ZufZUClQEoucskm3OSgIBu+cXfedVR6VB1U2P6+o+xXy5NBNNIsQnG1UsQStRiuQMSnpFxCuU
bC2el4cP5O8TL31CsR7qZu6Mhqj+gV9++fif488dch96qH77/tAO99un0+axuuy7x8f++K55fuZh
vi+nwvU/zX9gn08+/I4If4fqfuy6+87BJzz4SZ7wJaM8kEUP8hOf+ND0E/wRIX7WBve7kR+Z8UE2
5tCPAqIyJRLYMaRDn5ixfMV8+BLyWQ7UmUiY7TdmTOGJBimag+ZMMCJQp/vMjPErYMVQ3ZMCQ9mW
or/GjHEAIuBzZkyQwH5AGXSXkUOb09fMOGeaYfD3C+M1u9LQlV+gN3IUadjR4WrmU8iG+yWv4sTo
USWNXM/aVKqxnlNtpVFEOzSotvFInPfDlazLNINIOU2qLQEnfeaNquur4yWwk9KtacJK2hVkBEeC
0lh3wxgPrXgNDzpXHbNp5BYRxJNPhmOAn2KdtMZcy6RlYTGZZYdEQ1U32cvOTa9Z4t5KL18lvp+p
nIjHJdMAcdyq3uWZok7ySDKrY1smWhWinRTueR8GZVns4AmIrE7uy3QqlFhmT02AtyuJcjVDqHOC
qGrycmUNziI8NlfOT/bLkMS5N53UfIa4jWLdZFU8ou4qT7q4A6IjZRu3Mzqdc/5+WparfuDbwqCH
Rbgod/oho29J4ccZRBrXDktY+kFEcRCmzmyyqQt5D5N5daoO1AxNPNTJsiqSMQKTXI7NGOlUn5Sy
jnCVAifHVqWN3BaB2xKX7HUzhGldrVCyKNzNbwJ5C8Cq0mRUPKl3lqVx2+uwEukx8ypgh8X7Nukj
yBHuE2fWVS/DGvHQlINUEiWvWxKs+7lL27AguNwmXPR+TNMMpi8CGuPUq0JI/pAiNugBnRgkFugh
sOimI3hQxusMxH9yWs38CndyVc7ZUT7JtdcDAUKDoEpiF0GQVbKdhOLLfFvPXqF6bDcm7QF2SQOR
hAUO4pB75FPVh3XAHxd7OokHr4fHLdnL4TZJsxjZFaqkovjYiEuEHig9KrWGDb4a03Y/tfVt7pOr
ruJNWAgb/XU4/HmB7qC0/UHm/6Sl8gnOHQZ+wTkGPQVSBphjAfj5mwIgX2HoOQAgC8gBBSVg2W84
54MaBEqRkMjHkJ7D9X7DuQBydsA5OAIaAODSZ1h/Ep1A7vj0+WsBAAcA6c9gDvIsfhAcqEQSH9rK
voY5v/cbQ427IC4wWUxpe9b1kNYS3oCPdcWJKwjwW0hhEKqVMUPMS12HICXE7Wg85ZpsiyZ3NYwI
K1/wsEvIfaGF0p4LxaAjnL5f2lGVbAkTX69KbCLZXgcFeEEzqUJbNZXmyC4kTDBVpdArgfvzJptO
czrc9d7Qq7p+B606kMmTx1FWKkPDNW399TCf+FW2qkYL/BjyDkjr6sLEevGUcG9RA4mzMXEjcTRR
fYozsZWm3jtwPYeXcBkhFauTflQQ7wQwYLqedLFHrLWqGs/Q6EGuRbYpu5jc3pTvimY5NYt/3hbZ
u6HKrv2Zvk0Kvm6WFEjOO5MX+6GmUQ9ig1emb+bFnfIEnSXjGzS6aEDlSa/rCz9nFUzvjiTtb6Qn
j7lXH5LuJrR0DqvFnoguuxgHmLgtjvHMwqV4BO/eLLMfz5W/QmUmFXcIYknWRSaftzpbVkGG5xCm
87eA70MYYLrsIEoALxzHRkGAyrZjzo9tHqghD04Tv14LDJOLsx5wuu30keclZ2aYT/mycNWLBYSV
9DizHVVj1pcA3z0ED15vEiCQjcdQPPWkjDrh9KWrJvpWMz85AfZ5Pcs6/MDNRSvQGuVDoRDtrmtj
1/C06w9EfSiGCHLxEfZ/PXRpsPoGTR9ns05TzmOmZa6CcXGxgzW2Hj9zDo0hJwkQ5vpSJAONhmpJ
VBVIo4CKu34FDEJf/1chGbj995EM6ldfd68+hbIDB/wgZgJl46BUHlRHikGAZHDkC2WjgvhMEgFt
34IfQOZrKIPyK0JApggMCp5QNoAySMvhrQs4A5oM/hKWQfL1DSxDDMMq4HpMUvQUy5Z87Gtv9i+w
sY+4qC2A0FiFde+dQPIxKa8i26oNbmvWnmJSPjLjWSA+8mJs0zrW/vTGVNk9a8ROO9BbqHc8lu40
N8uxRMWRHusN7orYzkssPXdM6QTglimXJuczTlaWzxco7Y9s2gDja6KEOpWS9Mi2yaYrzXrMMgVJ
5kb692WVxw1gUGGzMO8edHDuD2tbP7BF9anZ8i4Iocc+sm0XFjOJK8xWVW4jO9yL1gCxbMKxqlbJ
SE9Eu1uEUbrGF9NANn0/RZ7PlZe62ExFZJL0Ihg5MD4aYlSskm6MA8h+Z9cfVWW6oslpXffrViSv
+2oEatPd4NIHJ2KnbSPOFh8ITVmuRp7NsPaTJjAXwHJXdJpggb2qkNsF003vrpep3pVVEEJMCEfZ
qrwB2jhh1S5l2FW1mjFS6ZTFY1NsirRRqWe3qctfuz6IpW5O6+K2BY3Pn+QJ0KjY+AtVS29XolVo
xnFgsZqy+qIBjhMcyE7Cu0fQh10km6IPswMlcsCNmgNJ4tV4mxxokwX+lACPwgdCpR1QqwI4ViLS
Iz8Xqxq4V1HBjaaNUfZAywYz32DgaT7wNVBFe0U/ULgDmZs0pjE7EDzvA9eruX2faYJb1R4gcDyA
YSFmFJfSbZqh2ogDYLJyLEHnHahqAE1BM4r9A7yaeTzNtDxrSbK3gL++OIOc5ziZqjUICKfdB5Tm
x+kBtlnTNxDxAMor6ZZdSRIX+gegH+ZxDlPA/haP2wBigX8ICqjxhJogTlDM42Jxmwo/IogiMq2O
WUK3uSsugt6ddBBtukPY8SH+TL53nJrxhnTjETsEqBQ0WwcRa4HIJcc3szefcdDnFpa89nl76iDO
pRDvLHrXUx1JiII4xW9HiIpm0O/miZ7nEC1d8jC6fWEvGoO3XY0ibpjCQa1AU17jeVL9DHqdPdXl
Lbfptsn1hQ5uZ9CkE16EdGhAkvKO5xm/TpB+i3PRKam9CwQ0pe0gZckTfUcxmKzXhZK0OA363O37
ZspC6U0xRcW9qfMjavnJf1MoYADA3w8FX5pOf6tn/Zb3w8iPoeBQc4a0HUM6ioHSMvp19g4sFyI5
h5ISFDzlk7oW5PnQJg9/BMJAeCGl/o3VSkwCKJYxKIcxBL3yf4XWUvb7UMARgXdakE8+lFSf0doy
0EmT5eOl1VO3Ml6V3YICuoRBMh0b24AKPqA7bmQZF8BBGjFB0aXd0CaLGtaC/gbsY+UFaDyeK2HO
SyRLtRQoLEe9JUOwTbMylC2OkKjjtF1AcedTEQ5LeY7rEhhq56PY4RaHOUWvO94dDZkJi8qbVVNm
ijQTiHhFfdQPbZjnoBz43aXAbTzKQaFa7PyqgPpOdi4r+ZbBwKUyYSd8cEzTHcMbmKdA6WclqFVt
MO0Dwjelrfa+ocfQJ0sggT7qOrOHIlgEemoIOX+opzJMkzJeArZplzeMAkRDxaDvgTPr1xWe4g5K
VoQ1akFL6OMuDJy3atLxOkN4C/W3vT/tES+O3DjsFl+uLTruPbEi7CJYqtN5wufGZjvK2LEeSlV0
h2zdgHf7ynAUzdn7ebjWTR1zO8byIJ/W8A5psC58mMkHEsv0yTz2q8ZZBTHuspmSLWnaGATfEwhi
G4L89ViYfTIOQPJ1PKZ5PBh2DVAXZQVk5qOJ5QJBQPdrPI2HspZWshQXmr22A111vtz7DYPkZTme
aVmGZPCus4BCsIBo1KUzj/rAQaKdhUsDWISwUH3bnvlzztSYFDvHZdSNydYPmvNsIiozTRwkzsZe
0oTBIvY1E29tBrcutVY66S4Cb478HoSSyTWAeaza6dpC1oPRnpUA+su28ettjiPnvNj29H2eeOG8
yDA3WbTMYzzNLpxzcwSVPR+dN/OjTptQQAlBkgG2leWQr4tLx0pQanGMKnZGWdUpTsjKlPmtVzcm
Egt/Q4f5JkF9yLJyVZU8dH0RC+cLRcrlUQdQjs3TxEao6SBGQ/FZIZYHkI/gGzdmF8UstwuSa0q7
tZNiULLpCijr4ZVHEqjXMQxVsvm+oqC7UOGauG/Bq8aSl4omiVFMdER5supAEJkqBQ0ukDTSqQ+X
ScYJheSJ2pscD9sklxlEU3E9V0hlI5xqadgm41Wddedlrt+4oOlXha2yRg0FpGsybYpoKBDZpNID
HgbP2+wNoHFX9b4JvHU+l8d14q5JPb/PC3CAafbfstzsphxYUcZ70MsGKK6xcHY+hB/IMrhQpQR6
NwsgDfnKE6BEAx/CdX/G6KYH0tU111UrLzWuQs/Vqg68EGNQpcBzuhGE+o5EBVtxaaIan7lBwzWR
GussTsUl70B2qY4DKGuaqT1uy2tuypA2QJnyt31TKg9UxUKu20xGhh0JKPrNlQ0FW+JkcGGTddcT
Sksolws1i3zH89dzC1U0kvoRVFe3hI6rpJ7PCgih2i4RnXWYTdkxWO3MjcWKAfjJeVgDGl5XGT2x
uVSeTva1ICHql9XQ17fgMjxhYeX8XWuhEtaQeDIurFsajY1djQldQYC9DjhUsVkQQ/U7KjpxvsgL
mvphEKTrerkWpYGjzRtPIkha8/V/VfiFSPX98PvVGwPfCsAw9rdcDPo/pIQ3cOmn9pEvuRgJCIPw
y/nhnTP6lawEXfiQa8Hb6z4EbQ46OUTFzwEY3hAF+ZxAJ8qhJ4VLRv9KAIYmkt/lYiBtCcoxPczz
O/mciA6VIiOXJAHUqZMrI23kCF0FHo5SS7aztxzpTm+wTG/6Au8m7q2h5H3cc/+kGmSkdbquxmk3
+c1m8MvrhMqjboCI106nmRXXDddU2Z6FU1mrpObrKWnhsfU2PNXQJoLWosXrJdg1dbebJ+jhMH44
Z6mqoJyW5osSfFC6m6JeD+esGyLkjVFQTpu0o7saIice2YeuhBLUjwI0YChaqaCzEff2vd1WQmxZ
tu7B9a3xQpemYeMgmYO8kecgRYDopCcTLfINoWs6tuGSkZM8LY5Htk29U2RO+/ItDm6yVK/g3X8X
QlfNg56ZjZhLdUg1FEmH4LhF3lWKgxWgdBl5kDqUXG49W4VoFudkyNY2r49J35/ntrwEhXrTGu+q
TOoV1RBa5BjxFPSflLLrhQHUJr6LEXeqqTyQ+LsRBLIlD9FwN7ZyLaBSkUzNyh/7uOLjcQUl7Xnk
b1uXgHzl1iJzgUoM22S1d+Y57zztkjW30EWj0WqBKp3KeRWJrDkHZXzXz25jmA0dJpExy95ZsYP/
3CHyl3QXQJhMDhfL09elSTqll6IN3Wxily2hx8uoRjsgaddT229tk11OSQL13BIUb0C1FvYmgRQp
8Lq36fRImzyeTX/bQNQcAZaVNm3o2ZDpeT87fD4ENOKFC3PoqoHyR7NJuulNGjxWiVM9m1RpHj3o
cQE5Y+O8dNM7drQ0/KwvKkXb28DiE4yyVSJRBIVGSP73mUkU87t4Tu0jyYcjL3hDWrMtcQcJ11ow
qJHIIg/HwK0dCW6XdoGLzmfdDKwkC8hO6hZURrOVjdxrO50WrLrtW3Qlcr7t2ttOXs/Fw1idDDhT
VZWdBP4NFEMhNjSvq4yseBLEObF7iJSnZh52SZerChptWgsF/hSejOCqSvdc3uL5vTboBDeQeznF
QA0hHmTT3maAoFNKpGgP9YsRZ+tsRnMYQDy0dXOTE+CAdafKeYym9jHtCTDFvYQuqDEgUNnQoWZn
2ZIq1t58aHaARoDM+Upn3Yqba6gyQw3ktdeeV8JBFJJrv4BeJ7FEAXs71jdaeHHRXbYOAnZ5L6DE
NHAQJWsbktaezXJWBLaDjGtp+7Cbsj3zs3U5BKo35qpr30NeERbQtIWhv8YHAbkDS3pQCoYeGIdu
ML/BZlQCmVi0TA1NDv0aScyzAtZ3HHRpqNs6NNB+MzNoBYK2LzNnYYYgmTTDfoF7lfKkndhrLYeV
64YT6FELA3GfVc265g/W5KFP7koLcNLz1YJlJKgOCfTAoI6FRs5hlncnduoUSrN1wTWoEvyEsrdL
D4Un6MzhMFXbuFhW676bzj1qQmZGKD6Bro4fNOniAEQgZqHHZ6oj4syVB4ky5be2StZT74HwTtak
y1cUxdBA8iDpolC/MdPrUgZrXDcrS9qwtrfIwjYs8DTdOtjIpX7ICqyGFOShYVZeMkPin22b4gR7
aGu9h7nIle6rGC1+lIOnJpBeZN3tsAxbUtTQBiJU5sRq9uVqhE4FqExGA71rzV0yoVAOoOkn7ZoH
oPX6y6YZ67Xl791UxE0iQHtg0ELG4xr1MeiEu65dlDfmMSZv88CuoNtF4nrNiot+CcIBmv4Eh/a1
5lyi9KIizVH+P+SdSZOduPr0PxE3QAyCLdOZ69Q8bQi7bCNAQgKBGD79P3G/1+45ouPd3d70ot11
3HWKIz1P5i+zrAlyzPvkDqe5kUmrx2sxYvzQVhLV3aMkN5z2SaueF9PuTPdhBdEusPQrqeh2suA5
IxenGPLBO5RsM2c1rFqR26XIegx86/g8OxfdfppKvLXRpyCac4/DB51mfNhYSsSHPQBNcWkWuNWx
ls2OyhBLTJO2YxXXhudQtq5VCXoQCGVn6rRS1bMcIATNmaqGrN9IDYxEPPJzovV+qLxcFOzQm8+V
umPS25cGT5771lQfXAZxLQ5O+9CGNwu5ZYLFUFG84s0yIlsC8kn2IKjWr1E0pmy+tzj+SsA6gt8x
3KBdRQ6V68TSmRNgn3m5uHsgWmkZRqmo1NWlOrFWcZ6cr0Okbuy6vHjMsuLVpxOk+RFXl+PerJ30
EmnNX1lP5jjql6uFb2HyeQbY55UsoDKq+bh07MmU43Ol7RAgGT0Fq3WmAXnhXXM7K+vElbprbPA+
g+3miy4vjcawOXaXdoJUWId1UkSAcBw7HVZ2ywq3jwFkLXHnT8fAKy4ezmQip/u6qR6m0eRS6cdw
rI6t6R5HN8hmXt1O4XCZVkmBrtIyBiK381b7aTXW0eeOTpegfwyn6X6Au5oJIvbFiJnYwZrXut0+
1DjW+jBsY1qIt9J+UAO2GKcp1d42YjcW4a4R7dGW6/PSC7hTHYXxEIaPwRKpbFrmGyNKkzacXwXw
mNBW934HlcC2Xoe+fi252lXM36/tctCjc+mjXscaKNwkmyMt1QM4qZ0eo5u6X89MYcK3QLv1izzY
wuRzYIu4r+FzhUPmyQI2uYMTdeS3/do8QEO8AdZyZ9Xwqbr5WDDO8Viw4zLNmWnmoyLue2VVDyIK
3/C6h05Yl6YrRFyrDjfGjPPPjP3FHaIlnR39bFntzhU0q+SQjnWYh5a3h9eU4wDbu7Pas9X9mMJ+
Z4Ft81znMNklXsEfL/+bwz0G8e8M+q+8EjgjfwvGZHBRfttU8xcv8UNjAxVDIJO5PgXssnnAP0b8
jZiBaRwh+PELO/PTbkEUBEFp20HU1gFH8xt23HMhBdg2WFZM/2Ho/5MRH+DPH0Z8H1YLNoXNv3Ec
+3eEjAmn1h9m9cgiUhxoAFfXAiPXgenarR3UKu7DTfa8oE8aT+5sDwPcd6h6sOD/gSB/7Iu1zBza
hrEKhi6mZXW1oKLn7tBiMd9wa0CjelcJWru5U3If4sMKyaSbU9XDXIi6q9+CTS301MVhP/DEmiKW
FJihY8DhzoWq+mgm8awdhRHI7zZ0pJOZGGidfCe1gwFuyNSEYTKOPQzj3n+G+fn6nd2GK0JjQewn
uULl7nzFElaZowgqO3VGB9e86dO2FCL1peZJH/ixXYxf1NDcalmRXRjNADCj6Ot33LvqTHv+gXnT
yK0T13JYEg3eta9x+9DXhky3nnitffZFwofD+6ESIN8E0kfQ42zkFo7nGgBgDbEi12bsEm+uzwAT
K6wm/W0FNEY2jZV8570xXY/pALgvtUd6ZrrlYF5xnGuc8JDHQH03VsQyGVVrHhYz2w01f4cdfSWs
hsziOYmx6B1x6udajzdjiyu6Ze+ceXUcDHOR/AkLPkftK5WTk3ShhZXHZpCRRFuldVh9Ge1eZUoM
bTypqj2OVSXOM+1OZB3kzuAYTxil96bULA6F9bQB4m5d3+GnOMSwBkIMLcefcDgBc5kqDXWznyGT
kGXQYPpZmdYD3jQ8+5+/4+JcEsyr69wmGy/ul1AsfSym0G57k/d6vAvLpclrv9pbwvMzK/KhTJYz
3VeVa4+Hv0HHHagg/48ZL3FAE2DPTSZHpvJJ1CtPIlV4ah8U4B/3GyJObbb7hQ8PF7mLAuiLv2fE
g9HckHD5qiSLcDV+Z8XJsrjPALKbw9qVfeZX5G4Y52FXtuEcU7n0aWSxl2WJ9gZ/Ax6F6N7Twt6H
dCAJJaWVNzA4M5jlqVuOBqylntNIT8+t2vcT99PBgvLayRHeG/DnVNfhktWlaVKfYpqzKJZZUQ3A
EzYaHTz7fQdJKms5RHAXt3beUneKvbVyk4Lac1qoam8mcysplOVucZ4qO8q4J7MNWY8I2YmNJhi7
+lNLyLfJVGfey6yT1TlQYJlUkRdhePMDa9fdmvHGhivFwCVPO87Gx41yV0pBwA7pL5S7aGY3Xjrr
O+Jegtvm3HugyolLzp20LhjIEX7njGvyE3V3GvtOW2ve+ki89JAPpmFIAh+fMDM2Bx5WKg7L9YYL
eYF/mWjQolEvzrUmp74vfsvHd3J6XDwGzvTPEPnQY0/hXL/8oOT7UYrHwhQVMHpsxLXUC+h6hySi
cXguQ/7594D8aDd7EOAXj2IW77ty2/+12jv2+qWqPg9zlRSafFqG1879ZpEZC02Zah0mKwEyrOw9
ytoQBXhpvMx3YDE2p+9EvaWHEOcJ3knsWp/9SGDFm0iJDSRyE3cJ3Pg7W88dATHTD91s8luV+gvF
6rgB9lXTTaelb7u4Jd2Kg2z8sqyiTnRRuHHVzzIDN4epd6PtgeqOYODUhD8oDRIqy225klsJSfQQ
NKK4OGUrUrv08MOIyiqdhbvjU/PMTfm+Wu1Tqcuj1bntnRST2vULALaitC4jrEYp+iidvGHB8IhV
xw/ai+L9ewFyahfNlswsAd63qsPrpBAHIqqJMr/T3pPTw4tctVPcGzvC/ok7royxpV913VdHpuoa
fkJvTTk3pr5zHX5FVurOXedwPym8dXPjAVsXq0lk4D3KGTs9aFK98yVpTnaLz9DSS5FRf8AORPow
4RMeFH/Q460FDjRjsIh3s17XhK3MpHPrdZjfwUf5nn7qcbzHxtPOgZGBxTMHSW8mZu3LutYpYwZq
VtHym5LAK52d1rnpQr9JiqIjyCSoEs9WTiWPdRRCqcFD8QTdHtLPBOU+lhOBnt3yHKj/O4SEz54P
e8VjeACq5s5RuFbX9qZY/Z1VNvdLWA2QzJpdOHsN9iB8aCpyW5VzETul7qEazDmMH/AVysEpUuzp
YJEY8gXAsOCtcNZdOcMwlvpb6NaZJYur4OODI9rXllMv6ft1R014qro+t6LyTgNhb2lzWYpiRy33
lg70Bv73o+CC4BDDLR0V4koW78Yv1q+gGi4yki92qTaNAPq5DnZtMR3Dnh9h092MUXuwVfSJ4V60
nTl1WwgDgesdlVd/5dq+rhbcmMlu7qvVdWO6sKcpnA5W0x0Lyc7t0l3xRmeh598zq56TRpL7NRCf
Ga0kdL/lRi7TyWfzjVbWHVD8w6Tdr6Lyj7Chbjo36HMy0FfGhlMnIxtI3QjgCtwnFAQEOwLTntq5
nHEpeueuC3Gjy6GPx7WqEPGoxH7UPkT4hSWmMy+B094zhlu+rNield2cgEH96vI6PA0Ub2Wgqveu
nD+Czjo3DnQwVzYsw1u1Yu03LMOm81pMoZv684ILuYjOOpQVEhCzyLCYirjxWwunBrFSiVjbwzhW
xel7Xo4iK5AKl7KHppXjzWBZIg8buByNDiPcEEXdItsG+VLyvnzwexB//5t7wUZL/X4xCL6Pzn8t
+v9omvmLr/wp+RMK7tPzMPPbNv31PgB8ygMtD+6J+jT8jeRvEz+kmNAjhDtBffxG8keD2db46KFO
kIDQ+ifrAOb2P6wDoUNh3oPpoj5cxt+tA5OcYbgG4gHx1TlGXd5Xq4Q8v07+zUiXIl42icHdxIaG
AoaB+iD5t1XJ8wpvkkObAIeQ4khLrdnde9AuPCzbDFoGeJID4qn7lt8tYKqop+MovPepSdX61QP1
2Q3+JzrBUi3ewGoOBGkbdkcFDrGHShxQsAi39oOJdwaVxbF9TBJ3bfGZ9PVBQ4lxoMj4Nc05pmhT
2TsJxaabgYOZ/bI0WPyb1NY4AKHvlJvOA71HQPcJof8E0IGAmOx86ELYuDKMsrEjPnyoRiNZcknE
0YeaNOrPM7Slvv3kgGcZn80UxSvUp4q3eWCGnbTHWMMXaEw+QKvyGI8daFcQBV8LaFmr/7G4cteT
5wY6l1deVacfe6hfFlSwWk1g6tEB3JuTp99tD7e/7s/Mre9L506HOgMmlcxjmLj8nhVqpxAuK5Hp
5J9W6HMYsOJFkGNJxqyERofcZ95BsxOLwJ/BSPHULuTOfhsGFYQzpus0guQXTJ9G9xMihqmBHIit
LrfsKNe4vsE1JCNkwwjyYbesuP6PIdz1cpTQa6C2WB/+SA5gLDwIkEhAJQUEydWa0woCpet+GNzh
Vveq2SvQjVjpl3BE0mzoctFGOza/amcfQvR0Cv5B7MyBFNpYLqY3nO4z3NrgpUawwoVwWo0qldju
Agiqk6sz6nwgopx5zQzbuUpw8d4xs1MQYwOEexlke4vBS/XeB0i2DN/7Cgm3aXRsIuyU1FswIUA4
l/ZDAZ1yMTwZaR60KmPtmYY691l0AFSbyNDZdcFphdTC3CGZCD8sPEKQV54sH0ZDZK5u61zW8Op3
wX6g/VEbf0tVXu3OPhQeJCCi4CIzfqC9k0wdHpC+3DVrfwmEB/OWpRaeFCJIojz4WdaK+K6NzMIz
H03S6BERjT4eCh/ZMStf4SW7AAuEZ4BUsQsx7mMZuLverfNyu264t/OHNRWtOhHIRXNj75zwGxvJ
A5VlIsFgjMaOgWEfogJkSwcMbOXHWWAS6VzsE+8OsIFiXHZN9Ur73SJBX8NmQ1g7KWosOdpOhuDa
Y0GPbHOgC35OfZkHwAMgUaR1R7Oh1skSirPT0tTGNhGCG+YNAr/1+xzNl7nwds04ISGK72LZYI1i
tyiVM0jgTLHPrtHIPgh8AloPHny++sV1GUZoeqb5WHV5UCy4iwaEQarpfRY9snewE+hoUjAiJ3u1
LqGgHyVfD7XlYv1oP9VIj2ediwSrrBADX78Fani0l+kJ3OZtI92Do9u7KeQnEKpQJIpTN/QqtQc7
bt0liimHP9+2npXOFH7U0GL89JvoOow21P4VkUNEiRBSsT2e0875YteyjhGXvw8b97VqVxkjB/ju
a4rwrDwFAG8YDY/4Oj8WmqeOTS+96x/DcWmSumIvY/XFdqYbauq4jOYH2sIkowzOpAwFxh0v2Ht1
sKv78ps09Is1Tg9y5Fc8lxgEmwLh63Wmo5NpujQbtmjeG+O2zwsL75UpWe4v/pgQQv3Y67GlR9Qb
d5TAACCORKZ5dkPr3C3hs0Bkl9UR/3BlD+5ksPKBk4sdIP4nHhl1X0jbHSpFDwqzTVnVeYOYQYNh
Z27WVxtPdWi3uQRaKM0zJNtvYGn3CyCCRXmPNg7kWQzXFmHCAQF7FeH9HhG6pvVjY7cn6qmjmZct
IQS7bsyW3jsr37pFcPUea+JOT5CxS4kfGDxiAZhj9c5yxbxc0oXmyneRuERS3Ab7D9tjz9ziaFos
PE4U23pDgVh9EJpUCTOswVOIH2SPD3BRe+TfNef8LVv4o5Xtz+acH2whMHNghTYBO7B1c4Em/5Xu
GbjAzkEKEgwzYPt+g5kjpofKDIw7WDbQSPcTbXD+g1wgkHWgDx4EVbzqPxl03O2v+V1kBvIM9UE9
+vgHynfw57/qzFijFpUboXqYre6jCJBJGzqd1sqc5aLSsIRl7tMspN230oUQ2TrwehGVb7l+ln3w
BYGzrLDkQUcF9Bp2HwHv6Up8sKBjBezS48DGlr7Ckh2BBHnLu3QANiEKXK1PndIXA2evbS9LxZJB
Ps5Ai4yBtQfUaCrvEIFImZUHwJA0cCQBLEkhBV9CwCyNhMUnUalhPWj1xLTMfXc/t+bW35DvFpAd
kKd5idIWCBSEVPhKDQoKgsMQekkHVKqdogHzzTZZ1McFMBXfqCpUY3xTwKw4cCuHs/0E/Gr9zmEB
yKo2MgsJZrIvNlpr2rgt8QvCtdFcLbCushnuKmSBReslDbCvCrE5eDJP1saDcYBhKBd5LtYqtWHh
mI0cczeGDPg9HHpFKJYl/TaBUICpGOD0EEXqM5x801zejq7MagpW2Oi3IVRY77XY1UR98EBGV/Qe
OnHDkf7B1nqtCLva6/COMLoTaz+4n3xUaPCmRjXDOtWph0qUrHFIpph9rj0sq2oLbfYwoY3DL8EW
6KyEBN64hTyL73lPjuRnv0VA+wjgYkURg3cKcIbzFhUtLLqztvAoEs9ZyZDQmCH3GvhVCJkOZH5D
10nejQDrEcvTWz6vWezHBYG9GcE9oh9bqCD1eHbsj8A8UOviIObXiNwCQD9XL8wOT+X4OAwftr5y
Ju5bz46byc5oF0MuzYGGuEDH6owTegNKJi+957lprwOQfM6q1xKIfgM40ivqvQO8cgbCb3CfKSD9
iFBj8rQwGgGA96Gvwc+zyvao6FMwP9f1cCSIB/T9AnC+yiViA3V3Y7YUgap47oZtqhAvsAS52nj2
WK+eNeIH1Yi8K+IIdL0id50vXn+2cVFGCC3YCC/0NsHcCXx+UzQQbuhLWKtNAAhoTieEH6zWubeQ
7nKLLwUjcN70awkUtpiLTPVQLpBiuNKpz7yCgF2NXNjs9CAjKlJF55vSr691gUIZZIvcClhvsDyY
Yf3EawmTrX6OWnKpTQEkZjl1dfPQ6OnohFbu9ysegMrkLpV7bpu8HItDwFfUmoirE4A34f5pBKCp
pII2QE8CrDDuPH3n1zMcy5rj3lnfEZsvoE+gjGQZwxtnUM98Hg8U72tk+Ivdr0/zGnyEKGrJyspH
fL3cT3PwBbj+eRhFXvHlVm4woqCDiXlhYtF0qewgU9F2+VRE8mtZt4emQKrBOAIfrvpp8cELRc5d
qEdkVKtlO3BobmqeTNZyZbP6V11tHk75v17hARZ/L5X/Vd3Zn1xy22v8MPdciox7hPYnxJ7c31xy
f2nukf/gWvweFnV/YeRxaf7k9/5/zD38xo4/XHK+gy0bwDha0BEO/R1A/8Pcm6riLDyRhOsFilHu
TuSTM3qZFwBMhSnd+jVwWffaGQJ01bqYyU8RiMXs+dAx7+zKIadOg8g4EjxrUydDU166ItpHvTwX
Dd8jiwXc4r8eYY9FFdDQ89w/lr48zVN34tETKCgonu2lqhskHl++24dIl9YSp0f9EW4fEtwTC6hr
pCerxK+eCr/JkLA9/XAUqwpCJaw/6L9OZjGocqjZuEJ6RBp+Y5vaSdkwOSJUvMSWjWgWXfjRHxDl
lv09EMY3K+xOTm+dF2LtCGqy4qBscwJ+6dD4gYyt3hwWhfGxQFnGrdHOBVT60QjyuV/EbbEAmTZd
eSV2kS2a3ANo3GKZEk0yaDlBNtvjyeJjYl6bFXk1/y5wfZngFGn3K0qYnGiw0FtFsLHd2t6tGSsE
GU4BqKBaZhEb825qTz0YvskRd2zos6Zov3n9fHBgdOKShEYCWg13PViEGWm2yD+2Bd25VihivYq9
MOXOafHDsKpbdyCQ8GmXuvN4dofuPNvuEZ1kTUpcbOkYsLDMQ0dvfKTyPae6TnUfJF7hcFxPKAQx
qzrPvSuTVTh7i8IKMAblYCv7CqU7dXm583HaTtrcTEzt3FIA8nYFqKg6vJ3FOCIS7GO9t6Kc2XVW
IjORTB6yvL4CY49mkNBZ9q6GkIwwCRLs/nmCdx73q3uerPbS+wWiBQXWWn37R6m7cmQR/0t0blEA
vHGj5fBfnTtCxUM8FsHt/4bWvZgb4PkPv5G7nVZDhyBFnfxTuRvHoAXazQ/TtQzLFLAL4uqgMbk3
vTlTUyE7uowppn6S18Mi98Bwvv61CG4Q9blH7uVfIYKHaO3HukQQ79pUaDArf0vJ/KE29Oc9+qev
9OM+3V4eEjj9Xiaz1Sn+hGXCiKCeHJllLwy2CsafsAzFf74tjag/9GyQ6j/vU/wCkBC6OVTzzYwP
UcP4T5ZGNBz+8T7d0nIBkB2A8Vttw2+WxmgFnUDm4KGqlrd+CMPMq8LxpCOIX5WFpjk6QX2FYUeX
HLBdeSYrblS1eXo9OIekqtcoXQX5mE11HBnkkiFEAHnwVh+qCyzBaTMHhzoCu7AZhl7jgh8t1tvF
rXbjGuz8wrvX8/A4XhQgawe/oy9umhLSIUpeqG522GGwwrn3wDt5jPitAqmmHpvJHXMkvI5FVQMg
1g6K2Fq5JgtfvyJLRVLfHfZ27+N12hfLTJfBJ5eQ+3kXEJ7Z/vJgOfKzBG5pXIL82owcnFfEMwne
e83uBrc+ahIcyw7BN1tllaMemoDumKsSNomzuyXlOkTmxJadm/DFpunOQMNfCRNOYrUriggaeE/1
2twNDgCgqALwjvo88L9Iv/VbjpQeisrauz3s/wmy4xJO1V0ZItunt5RfZEp+sw5VWki13wplGKi/
SrlwxML50zgBbEBVYQhlGQQRRQComPfBoOLSy41zgbi0H9v3zmTNpNOCT7HdTJmzvuros421zlnH
2Eb0pkAKwA3SdoGb51YHq3aujYU+jWhHLJVzZCN8RNCX5aRQyLNgSFdbrYUkYYyU9E1vHXt0Bpnp
6hSXJgIaCwKZua9LiKY3ESvLgDsP0HAjdx15c/CvSgSF4rWgqSnlvic0nzSubCT/bPRwWI2fW7M+
yeXrjBota/xcd+9GiOO43gQBwl143pzqbe5MYkP/JsEnhCBu1qW/86I3MF0Xz3ud3CJHcSNJnaY/
2IPyY1PCE6StD2mMQBheI/R4lhWC103zhtX7BFUnx69k6dPBtx+bUUeAkEAiTCJzAngGiOmiiojY
HQKD470dIOTdtv0tDxtyXoUFW1LiwVmkG/2r1pLgb9eSX36R2s8TFBYaKmhgR25f9sNWhHeNnhmQ
hOiTsbdQ7o+TEwFex0dc9xdXEUfaf09O8h8XJ5kPzxA9XcCpXHzVz00kiOD/QW3zHRJSFHX9o5Mz
wCH8O7kN/CN6agFDhvj1dc5WYfsrua0itjae3TyWUt0O2roysUlW8sy49dDaXyNUhkED0IDaIl/G
yn32dHCIxGuLCzxbTVUh+ACah1QlXBuwBEadJNJy2lMhPGvXi7kGdC0nyMOzn+Ptk7Fv+jcw74+l
5cAfc/h9F0HYL6nokp4haaucc91AW/On4q4XeIVWIkrK1tyPphf8TrdXglqSlHg+EIc3x6suokdr
qxaHJUBmkhfFvmWgcL1AflaeTFVY39Zss1kAngxQjtDpaVbAv9UnzcRrIys0udTrB3etOunoiNrJ
3jqgy/UzrrduU9WWOPD1l3ImG1Jg37BpvGUm+EDtwImPosPhOtybYn3vHSuZo3JCGJOnbiBfA1e9
MmMhDyVQ0hs1LQpixjvbkUtmOXxvov7VsRE1NBBQQglHTRe7LcHiE+tpwUDfKgDTctrNHkcXg/NO
Q7OrRmmjItdOq1V+66kPpmpCkYwfVVcbaiEcXLO30e+F3t3n1kbsWCJ9uqwBqi+RpBgd6xBU0+04
t18sV+6t0k/N3CLBUQSfmRlfulE/zpBpAGhVu2AyaFdYHKRawrfASzVnDzzsD2E5PbXIGhQ8JQrt
pAtIR4W8i8CqCVm0eIEME5uFg10DMz3qVATBsRrnEyHIpyG45IthD53tiIKGOx3BSCE+9K5gyReK
9EcZ7eohumtldDsSskfPIyylftgtY5R2lvsuEJ4SCFF5CFOJQeYUGuBUAidnn9DWhjt9S19hnUkd
XCvCGzK8Mkv5SJ6CQKu4sUxKF3HgiHIpRLpQm7uvEfEqdH/XI/IlJBBbRMAKRMHGLjxoW+zKZU6s
xT5Cf03sAtXJPT+xJriZtXvg2s89X5axo2nWd0saFCSFu41YQ23je4+mnT/RTJXsaOwqV0PBkeyN
9q2RGX4Ou77fShe1tVNtd6YlxC17vPGX8IQE/m7pTSa76LNVeSkqNBqED+xboQIIm0i9NPBnUrou
KBSSrygk/lJO82vluAITBySBsvoGlQRiXoeBo7ZzD9abU4AVxPoOdM07znXXJMPkoXjJOsvCN7HF
0ZHhQshE10yGgPWpnNHMMrunycZjN/dvFH0WfgRLuvwoGusj8EI49q3IfDl8Gpnskn8VmoKT+691
rT/+Ark/u0zwEj8vE9QtID36C6GyqUo/LhMgjJ6NcdsJcJz/1ruhMHwwa8OagY8IIuXXl4mD19qa
0FBP5mB3+GfMOsGu8bvLBJQ++iXRW+HbAXiV314mofF47djzQ8OLuO/qO2RoPwtC0p4gJmbTl3bR
eYFIIS+i00R6HBw4er/38KA5NgIbCyajD1PEOU4c3cH9aF+kJZKuLN+jCUlxCDmmQAkf3bfoGg9C
nBV0fKJIWo+jg2oCUOuCxmvV5YXXoIq1eqq99Q7tAF/cyDwrj2+WQu2kFuZL0a2PzAaUoHzSJmgh
qKBhR0NSNeunFpCIh/TSQsukIlW+9Ph3dp8GtkmsKti4gA6XDNkZXud+EH4bg/kAjOJQFu1e1uhB
dHuQ3MukD51CqIp772OLDoXugxJ1MOYJvc3gDOv1yXJgP3SsXNPR946EmVf0cD2aYAIzve47WxpE
9oqPxWk/I7v2LbAc5P2RYMs7j+1lq67hEmUaLQVo+I0BMKPjUu5lqdAjWmaLX8Kowf/+5LwrBHha
uKs1PvhiTOF87EAUgrygAD4JxnGNnq95t64+OEtkMGGrjxUkDbgJZKawqFU6rU2+BnNe4wwNKicj
hCQQOBGfcnc+cghIL7GgwK1PoPGDtrS+RgivCnUkQt1GvYVvuD0UXHwNIZqrTT1vIaP784Seu9nE
alPYa0jtIyR3VLmdZ0jwFFI8gyQfbdo8GlM+HIj1irYvIXRJARF/dvvndRP1N3Xf2nR+D4J/B+E/
2ByABVaA6Io5BvYNeKk7GBxrAFtPBOZBtzZXCjOBwVQQMBfWqd3XEWoQqIGJgNYpDhuihx2BreaE
nuakgE1RokpXwLaYYF9UsDE82Bk9bA0TRBmDzTGU001J0VgExuDgtwGcEO5ceOQ8BQXWj9a4b2uF
ZjsFLggwP0fvuovjk5l3lE08ihk3ePAQ1vgwjItOENOLKzJnIeQ6VascRWB45usUMwQWovKhE/gP
+ZoqbGdaF7e2BTOQDwdEQovaNLHTRYldghzEHDVLkUbyCyNILivy0WBb6Iz5mBo7iwpUu+tqD4D9
xCmKHxhas1mGRupL52BC6LzUm8iDcknS8f6lAFxQI2S4hcp4qx6XwrtM+EyRecgGDe1aRHGLHIJN
y/PI66zwBMgvffaj4t4tV/zKE0TTF/Q7NahNBwz6WHTAngWQWbRZOWo5FVWUlVP0VtgSH7ooryNg
qxZcPgSk9piW0AsbHdHb+tUOmi9+/7S241UUAG3q6aVs7uzVO+DOT1QRIbUeAgma33pdPaArd+/h
+yHoKmOVQDshR55rkZn0rDNiqIcFaxSSHacRSzaD0B756ghDLfZGPIL2uyOmvEVQBs9HJoXeBbjs
mU1OPFA344KdSjbY7ax85OWl8pezKmokNfg96ZDw5sDPaX1t3Yu74gPU6YSJNcb/NXLfS6oa0Hzg
y1blZmJ5WEaO7Cl8TK+3cvl/7J3JduRWtmR/pX4AuQBctFN3wHs2ztbJCRbJYKDve3z925dSSCGl
lPWyalLrZU0krVAEGSTdL861Y7ZN2PuhwxOuZrvUxrubeza+iYyjsdOt/WQc0sW4XpTspA4xTI3p
PlRS3sa8B+dx61i437Rh3c23Q0PEDCB3V5a+lo1ro1NYdo2M9QEIWudc0HdfVNmmWgxsMjnJdPg4
bbdhjPNwO2476z6soU40Nml+9aTX+m7m3MwiTIMdwJvEIYQSrgab3TQuZQw1hwlEWIXHXeZUU8FB
C9zHwFTkasEbMRDfSstNjekow3wUTDjrs2HrqvBH0vFKUV8g3G9sLEsL1iUVC1NcZCeTJ0aKtWm2
dc9Gc3AKxbewPjlYoBSXSQdHFMaowHRWLkYpG8PUhHFK1+JVkE3bCoNbNr62EyF0R8DRVL9h2Qvq
e9LPMXfg2Ovmbh9E6d4o3fOcsJ1WDeMtG4Pvc8ZgP7oWCZBx06twYWo7ooFCO8ZVxkyobmIn9iAx
Qe6+wkBXMhOHXUMOXGem/1xcydcnX7sXSgbZhGxV/OyozVbXAQ23J2O4TBm87eXFTTMyxCFw22Ht
2B9qmPjlcl/ZDd/bLxWEZXjmpRFUOTyGFfY68PBrt3kwWGg3tzwgWKWyDSlCKHnH1HxRsJ/r4qCg
3/Shta7b/iGwWVooCwAFe+MUCTmvj77Sdrl1ZbJwtR0AaJP7lIvozJbKdzAY+Wov9nFveXmjXyK1
mLcFVuTJ7WWBwYiJTv0GLzhgtV2QlzT0u0DPH3rrQeFZFQTYIOz+ShUz9x1Mk/oEU6kAkeLu/5Mm
RpPx7O8nxt9b7P5iUpR/9LdJUdp1VNey0CRw0/w8KLo2E5+NIIRqK0v7flIdXAOdF3kBq7Elh7vf
RQe8lQxrkpjLP1lZ/juig/kXcyKfgwu6KfhQktL7xzmxwhcwtU7xUOAkaTjolM68NktQPlrjiUQ5
GkN2nXGV1MBXmFA/JnpaxGTcqf1jxUGwZMmaexJMUoL01XfF0HcmrhCFE7/R9NvALq8XTKAOHv1c
rz+FE+N6QBGoSux/qtL70+Ssgz666/vhqi8CIjqWHy/IpA2RJsd8aCsOtHbadBxYQXLmQUMGKPWI
le/stLoMefugJ5ovqvbR7MgAcAglLoENpVtDU1j3Wn6c2aQ5Q35pm+ZiNKEfOuXnmOrtula0reU0
2BEAH9rODfr+OhQAnOxvNuveNnxN2Nd1M+U3nXjuDQOmBkln+5Kp9x0ythpjc21f0uYU54Rbwrsx
f1CdgDnrk4yNB9Fgay17gcvU1lYJuzoXUfSz5WpnVeG+S4AxOTdt+WRE1sbOXnXrQj6paolF68Nu
6S8JJqqEs7u8VqJHDU91HHdXbvHoqsoGnZSEY4TbfIWVFmmUIDuM4aTheVZ8HzLhsanccoJbeKza
i9MSvDFvYzbUVB2FFD9o1Oks09qaO4Tbb0zMnnAfhkrf2NOzChVA2cV5z3PgoA0MUeu48Gq3WhOj
W/f4zAt1jW+ySYxNjLItDh1tFCCNY+3GTHF7eYQY9fzb4u4HPVnF3aZkWQypTJq5as5nbNrpzIJW
eSTB2DUHEeyXGKZX09Ye5p+VAiG9PcfJfJcJslT58uomr9mg0dy0aMfQym/AL3NkW5/h+OLE47qr
85eFn3snZMYMxAetGGu1Zp8lijduKdvAoPomuS00Pwo8zEuDCaPF4HFw5dhgNfDFG+T0yXccNKPx
Qw0FLKiyY7d8lOH3iPG85vcX08oZ9rWT3fAMPZh6SZgJwMJS7/qI51VNlN6Si3Ij4xF3yYx6H3XE
92P8vtqr213sdm9XFxEgBxzLYTzTTRFqrwL0Gk0X27ScCYheZqAYfTFctfEteYadEWQ+5BmeLOe6
+mb13XMgjsSM+RzDxByTltexcYitjV70mwqoXTlaJ35aCmsGR90N+u2gWMfKBRJrnCNGHY0Ngxjq
lR2R2xQPqQuVbTnzwCzU+6J+Wdik12w+zK8rHK+qILrmFRv0EwUrTH3abZO/pvMjlvvTgosgSgjR
6Kztz9y2pMUJZIn17AKsxv7TIom4k1eT3yTaCKHvUoeXsm73OkdABXv1usfi5jiJV3dI98m+KUSE
iMdYkD2SyvGyioWJ4vo1LoX05HQnLdTXMbuXIN519A8VhCBAjPXZc4ojKgzuO7JtRs84DZ9lUhWv
WSDZL7AW1OBUR/FmULIdGxhcFctmNDfBY1t95kz3td4c40k9FelFWRLGSDyzmMFiEpdur5yarNkp
UGIbzL8UJexs9jVlXlZcCfWVnqW+cDt/IdMcTQejys75lN72cf82tuRXQWkfuhzEwBc4xZgcj1qu
Fj5irj72qkv6Y3L3uhVe6U70hgx4dvvuW+iG77HlFOt4Lr0CIgsvCvuGbcM51VIIddSRKYpxrJd4
L2x3H2t1vq744a3LfvxIFwfykZpcxKS8Bk4jBxNmL9sOD7HUX7Mguu3swisLpNWwYMkyubtFarZl
QCoUERdyz1Wevei1uPSLOXhWIy7u1D/biL/VmJKZ5DtjIAvHUh82EIprBONy4qC3lB5P5ZLcKWTi
CMGYD5Bv2S7rXCgQngsE6FQq0YnUpBupThdSpnaKY0yXjKMHgPO6ajVLRTuJ89p38gtbk31WPxWC
D9LqiNAceMYqVz+BM97jzjxlRXc79S7Zx+JWc2DglZWxdjL3taaubM2v8EsRV9uhuu+RdvOx3Rpo
mFmGSNFyq6eeyiBtoMTuOoQIaejBVrjazbQEV3q9S9SD0XMvZpjrC2OjFPuS918hJ9zwYJtUPpia
X2bm2pi/Bekm5C3ejKAWq+SmDxm4clyVDNbARYIUZHv+3thiG1NO5c79KsF+qaTNenCajSA0DZTq
OpwLv4eju+ibOjkwXecFHjaGQxqLdH9hFGcr8aTa+zA/0xjnk+zfVK2xawZxH5DU+Z85xzF0/TmT
5nAn/Vdj3L3sG/zf0yp+m+cgwiLPyZHOUGkTNA1ms9+Uv78F0mn/+FfKH5Lf/3HTIVjxf1L+TPZS
GngWonIaNqU/TnTlj6ZDMsebYjYeg6R/E8Z8a0dlCMewgDkUOacpmO9ViLceNGMO/GpsnvDzvvUE
CtKm4MEfKVdJ3L0tywj8FFt1TxHAqlpA+6sReNUSG5JQIPlTlUi+x/VJEL0aDdnXJq25H3a/9iYq
3XxdF6AfIeZSCddRU5UGKhNAjh+u4sKPT2n4pra64yumPq4Tt75Nat7gEechfrnRV55jNy42Sw6p
gZzng5Lmn3rDmreCszSp5Ho6UHti5hHtPrTFt6XOi3Vb5t+ltdwdjeLrjUHCAky5kxlwYMc3OdWO
hHvniUNQ5G3vyym1UAscXrKo0a6CAMtq22zkGEriH9DqPPtTw4QqR067wjyQLSrQJQZMS3Y5GkXF
42jSQl/IJFqiVgLAk8AhzcxYOhNHSXuTJLZv5EPOgcSUkSXGa5K1j7XmLOtijiEczRqdfdrwoITN
Y7/wSNNzDpo5bBmRYlZDsNMyatHYIMu5KNXAvsuJCHFr9FihKc9JWF+LpHjERSeoEaM5cqAdwhtK
LnuBywnTpGGwdvti2za0wVhVBmxP0Qyi3mI/qAFYLOBT3gh9YK2o5Q5qE7NGpEJArStkPQbJVYib
H+8jMwJFVVE1qnT2hPygagWjHsy7pekXYEBDyaiedydzhsdWCTF62PorL89NbfVVVhnaETVYorob
Gh5XmczkipZ0btPgSkgtvnpWSsHJIsSbhyxdXGK9ZJYiX8wkfZegIukbMKjZxIAtbfmwiQVXMx1o
aN+ONC9/xiHZ4RE1DXY3TYdGdUfpznPW6MwiBI5Tkw4xcOTk/ucRoqwaEsEjoFzKpHKcVMfgK7sc
6bJxQy38rqlv8tHEyNiQ2WFJucqhGnVYLd2IpqLQLlZ53h/tdviGuEj9zEJthsFyUT3YbsYV3eZh
2h01MbwMhIDMeri1eeav+7jd5Kiam0ZxdlZYv2ld8MLwd0hLiwhlwVcslEscJceIGE/Qlh8inbct
QJ3VYrRn9KFzabd+Lv9GPMkPE9d/UB2pM3KXwnPIl/KeWsopLLNsbS3tY67P73qUgSCr0cIr/QyO
6oMXxQjVFhzfGLIoTZwavHyAX2S8F/a0D139lDP3w2cmeG5XntKRv6ymV/Ya97kIlV3upIXXWDAu
xuWST/UL5I1oAykeCcP5jPOqpZ3OvC5BsvYAdUgvjo8BzFYWbPezEtHO1hHwMzE3kfJrHmbJgLUb
3qFxqTNwCHfZkBHZjxY9c21cfs/zQOXy0kLHGyhzstvlZQgQshzQL15hsW2zMPoTWMN7+SVy13q6
+xK4w0xzNqLmffRD2WZ4B9b+J1WbgaFdpTM69G9ydj60BQsLZGxqTrCkWA23Q8TrwB6iddyCGUgd
XlhRGqzLso22Upu2UiplpDBduoV6M8WG6f0mQkPicdd9YvAbElRYXRDbVaR0HljfpMKcDCEQZmTl
QUf/FzMfqezn+1Q41HoWAxL/L9JxhXbrV63FWW5CN2Nkg8jfUsqKpYXvHQpwwCJ3FdWKyZolVbaA
H8Mvobe32cNLhdeIImYjjEA1Q/APVVcfeUNKTbfuSNCHpdlAudGR9PLpOa200TcUNuI/hNpsYLvb
h7RLLcuyG1P+gu7cltu+SbV1r09vv2qquSrlWcn3lUJqV5i0VwjICl3JzfCHUsqW2pcyKUyND0WF
sih10ZZXUz6xQZEiKEwPvumRJjO2d72dHtu+eZHyZkK34Tq1x73UM+FDb37WMkUX7EKLe4dUL7ss
eI6m/sbN2kMJ1xLs5Gs2jsGabt5DlTIxall1yuxg3tPAd6vQFeiGrFWaIrlKxunJcUpsEsFrh2a/
0k3U2oIQa2L3HPzt2K0Wsq56296MzaJzCE7wPAjH9oRkrcy+HQjNZkG7FvmIB07bQqJfW+RrgVAT
EZwPEn4d4HhK7Yl7DskjL8OQvvoL0CLOl/epJhg1zTddTEOCUnXXEqJID/GunkN1VwuMarp++wOK
iOGa1UtxXQ3ZlWQgZtMAgxUAPNSjD7KKH1luvEPyPtdN8iSZhlmgYJ/j2VaF6PWSWKjzQpW4wkTr
Xrqh2YOCeJWMQhhM95JOGLf4zo0heZoneTsx+xvJHpwNDXdyVuw6o39veyXcwSsySICxb1zM7C1c
eFv3wh3vYK/dmGVWQv2TUodQ49UPml8D9Gf3BfIjnMg36wfEL6SqTkKeu51E9pV6IjUYuVEoWd6r
hX4tuXyBKE0OKuW6drOek0LaSrraWOu/QvgqXuZ7Sd0LuyTwvoh7RrBUnp3hJpeYvaUoyl06aAZn
zQ+0XpfE1lOugwiNoGE8Dr3T7exyardFG7wMSWjhQ4k+bI4ONk7puJZAPLhNElr3CwzPNrhcmiH+
w6lRBk6m4JWCZZSwKdtSTcHDziT4rHd9u07mYVgl+vzUJVGwKTRN7GczvoN8vhManRCQOnlPh5gz
xnw+8VrnjjUZR20ZHvXBqfykUUi4pWTpUANGb57GD4fgNZ1xOWDNmWrlrjNImkZXrj1zL/5RLjmZ
0XugGi+dbZw0oukQ4a3i9FU0acfZXTyoWOy41SmGXa17sz7GmknIH3fnKh/Es4FR4j/KlGAyvP+9
xPyjmf6fLjU4q/iDvwnMUIiwGxg68jJe3t+L12T1uoaTDI8RtgIhqyd/UphtTccpTOsjCVRDXmN+
l5htg9+NiZnKNoOLy7/lCAaJ8U8XEhv9mz4MgUONR+ifJObaCHtcVA2mnrdm6I7QztYuT161vbSX
IVlbn+PbBDHeKe5a6m1cFJ2ONqIWsGdwU7GT0/N7i6VRKhTUp2PE0nDu9w2r/8k+15BIR8XcdOpT
Fd+10TFwEKAmFWYYa0zw91m9itjcW2hJoKdXvYmxrEg+Kvu7WafHob6UitgnLgQG5RzY6EXswA3K
kaILgIeVm+LcsrOnUpq4zsFnpXw39NJXi/QM4ItHA3i4ABtxWPpS3VWT9tpxJj8p7avSlADfdhvI
5Y+kCi+P4dIeRjwYVhDCsWyvM52+X0tZ140XgflVpvoQGWcewG57jLsn2LQzkOJe2U8lVx/1ZJk2
tj36ydj5lnbEgpxNs1nhQ8X/aijroVJu2Sr4OtnCog0RYhiKDO09Y2PdUlGgQWY2pImDJTfrtzUS
nhcR0w/AKbfOp8kXNp5zKKhFczMPL/LDzwAeSsOfR3acDDBR9KHQU540MKyUp+hhUoleImTxgMhe
zRDwNOM/95tVjtfCUJA78vZoFE9NSNg2WTWQFSAuIVq1uzCGf5EofklbyTIXFASBx6DvAZFkTXfd
ZgmG2znst5kNzDhTT9p0bJT8LDId48J1gCGyDIJrrCPw/E5zzOwgEq8oTd/J9F3c56cqu83hj5ZK
s58ZWBjucYLx4AkfixzDb9Fv0y7cR+NLOWcEQT90vMZqem4xAMaND0B2S6+5H4aFL62WPa8zZooE
rWdio5aaF6PQ1ppbbhZbgQ43PsdFd6q7CWbcdaGQOFXtdcEp3TRnBpl11C67TAEjlHqLNa5TpVrV
Y7OlH4oWIuscBE9BsmoBdQkV7gXKpq0deVO4+lbNXB/7o+fgKwi06iqOyA8PoW+Oza5MZ14Y7RUU
XJ1X+oDZTqkfa7AtxVjfx4JHZNT4ivVs1OoV9Eb2wxbePYx3rvATTIhuPLC3uU/VB9MJd45hAFIo
N63zougdRaf2qc/1+4V7hkUzk9UqCO3QUOkz6mn2ngNtp1d0mA4Wz/N8r5C8VpTBb1se5F16u2hi
16b17cx2ZJzeEtZIrFx8nfu5iC95TdR12YTMzsO7QR8IueCtSkPNqGXslZ65PHhq3vLgOosGaAmW
FFx53uAMXhdTc4q7ME7cQ+/cpdpjlj/V8x1633pc3vkxb+LahqrAIhywTqpfKx1W7yDbZEm4VsVw
oZ3V0d6c8TqgQc1mSnKLtTuJba3lW9vtT3JdXGrmZ4QgBwxE37a4ambhKyww4G9406fTPLczHB96
XUJfxzFFRQ6oyI0mPF0k9w1NaouAOKa1BLtZ1oQunNnRSFnXc5DFXblDFX1YUufYOkG9ymIaWWYH
Iww4NGJ3StHjMmELkAfPScFW2yqOxD4eZsFRokWAjvFxiPKylPN+aOqratQpf+uughCj6iJqtt1K
JGtyVobZM1bFd+6iQ3SxXkPLwJxldaanODpTkvZkphU2Kso0Blc525Lcn2XbNp8eoyV/cGuoOwT7
9mzptxPBITUW0CoNz9TnfRfr9P9ElwSgn5vED8ySIE9mygV0GRzetDB+u4aIdIzinkL/TWsFe0a4
HZz8fuLd2UEJVgpuWS1mjEGHTQJHOIInPAXU9cAXRltZt3NxV8AdbqPiBgw1myyIxLZEE3OvfOBW
PeIT5pajwS/O4Bj3KohwuMa6BBwvAyzsRMFKBH3GooR8bQE3XKU0ySkVuyAq2++4fqUrrhlc89OZ
CF6a5r47RmeTaxSTIeX0bn1ttjO3POt+bqr7PKgfh0E8Rk6CrytOnpymPzZt9sAnsvBScVmx8xIW
Rx7jPFZunZLEYFyMKlmEzTgud+6oQMlfymedciCe7vqqrE3G0Xovb428Goyd1ip3YbEsqzCajoPm
EB2oG7Zbae9xo+EzQqmXhPjEIgRt17eLpe4Nxbl2rGRXZwW+WfuE02Ydde2xd8KbIlo+0M5O4TBm
6w6uYZKa7JNGnEnmeSwE9sCrmTB0MpNLDO0KBb4c0RPw1cU119mwbE7UQVByDvhIhX/AzzksJgou
3FduBhgupPtl0K/6huO2SK1velhfFOE89Xr3adVg9kE+dGO/oXZ4M6favl4WTh7DS9Lkwe7mU9e8
lBHfl3TWaNPLI68tHaqM6JiKihnoOKcq3mpf5+qQI80xEn/OIczTZszplBGFz9h5VRmQYIFgqYWU
LSB4L9ohrCpcUHOT+Dp/eXeqPEtkL4Ojv9AjcVOqKj1JVXodp+I+XRTHV78R3UhmNqTJfGnU2l2V
kyU20QCEolgA7NWywT4mfeDrNuvM1sJLL1o6W0fZZd/RQLXG9977yuTwYWdpQ6d8DyFKuloqfrl5
TSINy1k0P8Jt2gVuBAo9fQtLmpr5qq+ozu54VBk3lR2cbDO9igvxXRbft/2TxTSwTJC6TMVPM9bi
9eLFY0CgtzY3fcWjebIzuO34nYMa2p/FaZoTPypOehO+GzONU2m4buv8KmjtbZhy4X5qKfLWSLxm
PI2L4rsbGntKgw42Sd8h4b0RNp6Sn/JynxQBqgofYuHGmkPNN+19PzYfLP4OMfPGgpqc1Hf2cBYl
VOGXsSROGNPpsUXdMLWjmz116XVZH+YUgHgrGFDSh2EJrkte+11k7yyjJXD0KErjnbelD2mAFqTh
O5LdLgPAGDbGg4txabAfKzU4KLPYdnVBI8SCEmqmXg+0HKI3d++dUL6FrSt9XfADiTqb1kbByGPr
38wShHHM7ts32qM9XJX1doKYpZWrzgSkg7nJpSXFMR91AIWrhHJxJddYSn/DVb8L5n5jIu4Ok3mV
Zd0bwsh9VY5nABskAqK9jUSw9OUpxfsfH915+kSmx99UKZv2EIudE6jgVtW9O17qhQIB+Lrj8mI6
EdGobxbHDyCDbUKzbwjyfhLycLrjDH8aJuspcSKGJ2NbZe4lal/p7sYxOa/c8q1GBYuqt8Cm6sHm
eTIb1o3qQP6vH0N4RL1mvGSGuvsP2gtp5G/+/u71/PnfgJjLD/HbLQwYoIYjx9ZcnZJYLjm/roV+
uYVxN9N1iD3aT5cw7R/Smv3XlbH6P/5vLmGmyi3wT37wX+qvXV1GQYED/XEr9PMlzFLly99qeWFk
5w6QgLxAZU6+ixycOa6m9awaywd34m3w6/2nCcMra4zfRyv+kJecqmCboldk4WutfJF3Ga1TDmQh
Yl9eUKDKPFW1quKkcbHmZCd5E2mpx6QftPLLTuwDvQZjKuJH3TJz32hmr4WYI28MU2/da/n8OizD
hBeEUVPTugvTP7O1tk/SdEfAolsppRtCvDX5fHje5Ai/VOmOwd22FJziC/UQWv1pzCqr6yh7iLDK
2lHx2DRYcdwpOwDnPuup9TYwoqzaabllhI6FzWTG0Exks+aBnN7IMTlaai+q6q0ckBfbueudevtj
MhZmTFwzE8PKTsWZ4330KFG4asvmgfvGZiDKIifavCxeoyZHcRycD3ZBL3I6bTVmYDc+fo2jeneQ
Y2jPygkhOHoZ8bNCQozfO7Mdt6hwVN1oZnqsTBZPNdabr6ERRVLnMdAq/o/xcJj0hx9jYWnMFvRg
5sFEZLP/8yxIa6TYRzxtNnL+S6WaJKSu5EqFaZFak5z2ZpPRYkaG6sgpAYJAmRoG/JG/TXU58pWc
6GqpZ4k5o5QCiWuUWlfj2C+iM9otOVt6W6QiFji1ueqlSjbwqXF1cSt2CDH4g92XO2eZ74olc7Zl
YlZeJFsujLAKCH3Ft1kfweihHUNvZmpdUeogEePpyBrs88h4eYkpeMzbqzKZqZ+SWp+N6FdJ9Y9S
9idN6oGhVTLj24gAktmpY2jbfPE6a6kk/kB1UvOFiVaqjYbUHccxvunnarobC168M+JkmWHfYB+K
hVIqly0SJil4xFWc+hJ+WSJyWoLkmkD25NKHmRMhVG2Kewm1JBP12iOUFinXTkiWeYbPHoxlN7DN
k2tDM8izrYRUVlJ07abzZFnvGZU57Es+XCOEPotMK5mTGWwsDflWcevjD8Rkqhu3sZH7dVuqOxXh
VyIjA4TgXirC7NFuZiTibgo/qn/GQaZSWdYKkdP1w77zB/yxQIb+M/YxCbnQ/gXzkWB4uB6k0v0H
zGMq1XDJdhRSH6+aIcYAF7yqVXFMkdAFuMZJa/S15DRmiOwsbRbqeKqTxtt3JTGMZqMFoEDs1wqJ
PkCqd7vxpkW6l0zFSGr5OqL+zxTFks2TJCgmLAGUaOnWkvjZuujUrAnCOL9j/roe6j6C7WFuAwj7
K3xkm4AVwxKHw6pn6WAv7TZhCeFi226wb1fx4qwrwZ4iGrgvJqwudLnD6A00kT64H1rDD0r1bZDb
jkDuPcYZy5SQu5COpUjVyRpI/OzYo48l5cN0UdqjH8zLcyp3KpHcrjRyzzKk442Qm5cxTT/xpBxq
NadCjE4oVpv3EcsaBkrSk/j0qxCEZy03Om6S0Igttzz2XB4KufdJdPbCqtwFWQLto5b7oc6ua78Z
hg+nqj042hisWN+Xi3rPaQkonIA2jFIQJilmwTRmIccqapE7KUqbd63cUg3MJOBUsfTbMkiRk6gY
htq3856UdQIdOc7lHb+xbByT7BS79oHkBBYnCpL7Crtx0S+4sLvRa5qC4Swtz7keZ3vqbyk1oOKC
NdhqdPVu+3f915U+e4DYxeN/r+m6rZiTaY0ydlP4x4JrildF4I+pbTxHhuvejkXaXScTC46FDbpn
pSk2vQXXghGzWIZbzHc7mifj2h6X3tc7E3UuMpb7PE+SehtbJueSM3GZaTssJIiWKiaxuO+Tm2ya
aVE3loSNg66gIdiBQY2IFpt8sbUT1nt27slNOFf0WZQLyVfPNGkta6hK2lddF4mNmtuE5126NggH
op1R+xHv7RpPVBdlpt8NKPIN+8oNvNlmnwdk4icRRZuv24tKs9jN18WlhAkECHKMNl/XFaVw3CtK
GUpC6I7t4y5HteydcteO6QhbgX+EidGDtHVUdJ1i2mlQEAD1z50vbxRaxZ0gQHaDqYXOryWY2lmG
bHLTeVBcPI4wtVWvjAR31dphl8rM3tTasnMS1l1mWb6xRWdCJymvZPrN18w9EFcy597aqBb2K1VP
Fv9rio6X1l0baXJKrVLdimQwHzOwECc56mbpEPv/QQMu+Md/MeAe4/Ati/8XAZ/5r21T/OlfZlss
T8xpf8cckdMk0Xe2CQZ+od83DFie+F9wRf6COQLfiw+IjQpzuyzP/LcqOLET/GG2db64K7pmEavk
8Wzakm7yc3B+Gui5yazgPu2b1wGdQRA1b4mEsAO4y2gFIcC4sigZngJpBifbnUESJBjcNmKPNDew
McjyjTGp8Z0Z5UTNZqoeKuqR/z+n5P81TkkcpbNX5ONVz/GzjmTfudNTqCCUaBPzPOAgHTdYh7Yz
Fsy+ZPepvBMbXAmF3UqGNGFUJzxw2O0NAuYk8SsLG21IRBbkdaStW6NZV4bj2fExAcXem28Z+xDZ
vJFmN70YmYnR4ZzaN5z8wehMcnQwqBXOMixLtvim9rcjSAFbQ/esUs8hFh/aDAOdflsnLFmx2rgo
QZrWrPEWXvIu4wwGRZ5NLLPNUxjdZYB3C3SiMEx2orxvKvFQj+ohib/PkTwgsdkM121NVBEGdF9i
u+dv1YalZwBlSa3BN9mj4PBp42sKRqg5F76oVc+y402fhDey0dOMP1t2TezHg2RcAy7wQr6rDOvX
SdJ4ZvVk4C4yAEFYpCD4LX6M68jCozGmJrJyv+6q+DTjSiowxFPSxoUv/kzNeaNOcHGIeaXRdqBF
KknFlc2aJ3PuiY1sRiP/HAt7g4NrTfPsw4DrqZ+UjyUbkHyRrUhaWsqLYry3JmSEeF/orZ/aWxMY
dDXrW1rpLgJhc9AqOqJzHjlUMarvuZi20ESFEIeFJjx9tq8yjTAk8rCTsMRAQgnZP6sZSB+cWjSK
UA5SAxN6TULhx+x3MrBCjeh3+cxPrI9u5vGJFo8btWXHVDTbniVEB6u/0L+DE9qobbCx2DctYc3d
r6N7MM+vFVTZemm8fBSHTH2vytd0CTC7h/syuqSpeQxqVoLLTcqNNRN0gjrLtatFR9FEhGuzk2KS
gGyNZydV7+bB8dMi2DtOf9OCfsD+6E1Uc1RxsLYsUB/FS9EHoBUyj6aNldY3PhTDfYA9XeJNqcpi
tV+BNC82RRL5atzuozygFtJZSwL8AD48jrpTFJqP4WCsxWisnFZh+jgZYtqndIqa7sE0W0Cjmyxv
n/PBkLczr7UvE/EKvRnXqlVvWHBSG1PtQ8pH7JCsSUDjJWTXjklrmDZujNAXrRfzOQ16BiyDLHSw
w04EWXc8FNUEEF/np1BvHPtCcenDwg+NH96mQmqr7PIGBsJhgNHaWaesw+uMT6EsZkT+npc6LzBe
3Iqd7ZNwN1TutUODSuS+hQo7Gryb7JhYbdya1XnMGz8JYqIPnBJpcMTLxJXMXjX5cM64IONf32ak
36aw8royZK2Re3mPsIHjXE9JvZe3rAT9vpnPEfbAcDQ8YCnwh0ipAGLsy2NHCkIh5auUV44W3+G6
4mX9KYJ6k4ApSUZwQIKm4o7FDnCjJsLO08/4MClCCrIdhTObPCRFRYYiISOZTNNdjjV1meZNVTDQ
O3hWmOvAC7GEYsNm9js7AKdMa00T7Y1C9Ttowm3Toce2Nz3BfIvsC6xdeILsFBWr5m6fYC9y3v/n
D0e/DAuYozWmahDa/OtfDUnXZfP37vC//Fg/j0wuiTrdQFIwHeS231ziBuocNCHwDyqMb4wXP0wZ
2j+EKhEQAIBUW6UlDNf5D1MGmDaNtKq0nWPXUI1/D9MGvPsPMxOZPxznYNoIF5oqTCQTTtLPM1OO
AlQl6XhP+USzieVzlKJcAlwwx7xQK028wOz7K4MCiyZVcZ/NhcObKAZL1cfdo0bTcy7ArSVpTawM
jNi2sZpT3uflIYZkz1tM7vJlaaEhN/qu2QDzGbneLVXzvsBLqyzAaVostK0p+WoToDUKyBZEeYX/
AslmaJniFw55vP+i7ty607aCKPxf+i5X1yOpq82DDdhOGl8aOyvNixZ1iJBAAt0A8ev7jcAOAoeF
464VqjcjGekMR3POzOzZ2xXetqkPNNYHOZ4NFX3BuZadh0vkpPwACsNIJKbCCrEpJbJTiQhQBSZS
VBY1VYqDyFMZIlQ1BiYJOT61/anIWE3Rs6I4PeNtsZG4ErErW2SvfG9+y+2vExHEmuVIY0WNSlYZ
w1tUF/E1jFD0GcG6SqN5MdT+MkViq6w06z6BVq27EAEuFQbX+cQZd4JGnEuJTJdRflYqfT9RRXm2
sEtoomVrEdTOrRZq7wuR+5omCH+FORJgoa5d6lp6D2vpZ8dJPtaJda4FdDkX9JWe5mpCQxpIBldk
xWJSoXCp2fiaRA1xwNGHSnnV+XyxsIClzJ0ujWIhxkfvJCi85WmhDZOzeIjGgF+5MwQ9zLRnAwaw
MtqTAXIsLfvCXgReTx+TRfGMOvvHAODcq4b0QacgH6/gZDUI/aGmVOi6V0OQaralIQ7ozN459Sg6
G+HoT5dqyrBptlzoeT+1l/fBxzzvhNa75WzWU18zv0vOJC/hVIp7fs9+G74d10F15RUxidJ5R1OQ
EY2iDJEot+hMA+chVsmNH0+jjjujr71IoKtMlhUNY0V0b6vF3SgtLuLczk4nkOoGiU0P2XxWn7mp
ute0YnqmazPrLEd8qlPrPqxLJfCKxcJl0wXFwpWZpqP3ujdJaWoIsm7iWCKyUKDKYA9v0jwfX4SI
2XZVML/woOu6jfPU+GSAsyS/Zc7/jCyShkUO7+8oyLueBdSl1tGtUV9NM/R7/kjAQiZMDNkM2ATU
UGlskwwrkVKOkKvC7/uoWY8fUBRyKeeg5eFWl1GO5BdgbwqjesXaaASfigiJGYWo4ylixepdZrrn
SZXV7NaUVzpdaxhPUCd3rS7ZB5qCJPuhE/S4hf4xNw0Y2iHggmnWvEag687I/V5SE1Iv/HNPcioT
ya6URnHBNiGCw3CKIL3tNnYezCQrQ1UN5gVEP2UrNpbMDT0Dt6mLLJktWZ2E9E4peR6ICPXLLJ1f
DtPsTvjNTckJDSU7BGyz6CjJGLlwlY9pbAMiBDw6w+04ApgWUvJUINSwZcEL6dErX3vZZ1+A1jWc
4/S3JHS8A2JpmMbHAsx+YhiPBbRdJkVBNa1NLQ4StTp/pBVHzw/F+RFg8IZPfAo+vOESH8W5RQck
4HHXjaB4EEB5JdByBcYcqLuShv8FjIFD47QlgJAISL3W2BppFXty2AkTQFX5nbEM2XIIvH0hQPfS
Dj74IN/zpLovSe0iT2hdmaF7NRSQvBargUkyMmvg82H5twOevgBXD0lg2jmeRfzXh8Vv4WDS6Zf9
btOXdVsNSNAPCkg3ize/fzt7MwEcdSc6iWQjXnrR/i9ad4Td1dPBH7/0vyR0vkYFRa2HEsqm54CV
291izbM1z7T3q8Z9nr36wk0084Sing3XOYs+RI8sAs3n6H1AL66Q+uBzCo8b1vne+PcPbWXI/dfs
feZnhi/ax62i6I8MH4pZU5EQYicjB+mathksUkY+SFCQqRyrMuxRWsPeLhG/3BrS+edTxPSZbm0r
gL2FIhdbHb0V2Du+ck4YJzZwYhdDrEYrP3rbGoqufMfVrZ9rjYdJlZbiosJokm76B1OHaPkQI2x9
w4ZbYAePV1D0pbTGLg2lyrYt5Pl+7tgPcY7bGeUfeR/4naHFk7bU9gxAuYiyjkeI0xzH6yMdXuVD
psK2QVtzQdkuKH5/xwoEDohUribbcfrE/2KFsKFJBwujr3/rnRUCLIL7v1ghhMT39XOBgB/Y0Ho9
3PWNUAv7zBXJDMhxvG+GvU3S/HL/YJ4YwC+gQ1qvi1vWEG/pwbqJVsvxmkFIp185KcwTB1ImJc7g
aVVou0sYZ4UpGiKC5jg6a6yyY/vkEF4+OVhCga7prlQAN6zBpMBONpXElWc+Sr8p0cArJ4UMX2Y+
rmJ9tMxAgOGabC8c+u2a44h31juNby+fDLwijuwp4VVbHe1JgTUoMrPd8h5XmcNfkQMm0FP8ejaM
xl+ayJWq2XOx6/cueAzcds9vxKWy72xdKIHs6t6r6E3+ftPaaTSB5cbJx0Czuc/639cD3L11616P
o3r88CIa5H2g3HVzol4/5lU/Ieo9HC/bBPnPxOMbr8e+G304nLDllXc6CCHxynt0+wfAjHUCsG8/
6FYa40Cz/UAlY+/QnptBTzmN3Xn1mKt47t/aL41c8TAe9PM3/wIAAP//</cx:binary>
              </cx:geoCache>
            </cx:geography>
          </cx:layoutPr>
        </cx:series>
      </cx:plotAreaRegion>
    </cx:plotArea>
    <cx:legend pos="l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" lastClr="FFFFFF">
                <a:lumMod val="9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title pos="t" align="ctr" overlay="0">
      <cx:tx>
        <cx:txData>
          <cx:v>10 Year Average Yield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" lastClr="FFFFFF">
                  <a:lumMod val="95000"/>
                </a:sysClr>
              </a:solidFill>
              <a:latin typeface="Aptos Narrow" panose="02110004020202020204"/>
            </a:rPr>
            <a:t>10 Year Average Yield</a:t>
          </a:r>
        </a:p>
      </cx:txPr>
    </cx:title>
    <cx:plotArea>
      <cx:plotAreaRegion>
        <cx:series layoutId="regionMap" uniqueId="{A47F8B4C-AFA7-4F0A-9237-3CE6F849E9A9}">
          <cx:tx>
            <cx:txData>
              <cx:f>_xlchart.v5.10</cx:f>
              <cx:v>Averegae</cx:v>
            </cx:txData>
          </cx:tx>
          <cx:dataLabels>
            <cx:visibility seriesName="0" categoryName="1" value="1"/>
            <cx:separator>, </cx:separator>
          </cx:dataLabels>
          <cx:dataId val="0"/>
          <cx:layoutPr>
            <cx:geography viewedRegionType="countryRegion" cultureLanguage="en-US" cultureRegion="AE" attribution="Powered by Bing">
              <cx:geoCache provider="{E9337A44-BEBE-4D9F-B70C-5C5E7DAFC167}">
                <cx:binary>5HxZk5240u1fcfj54taEkE6cPg8C9ljzaPuFqCqXhZhBiOnXf7k9tava7nbH7e/2dZyKsF17g5BQ
kitXrkz874fpXw/F4133YiqLyv7rYfr1Zdr3zb9++cU+pI/lnX1VmoeutvX7/tVDXf5Sv39vHh5/
edfdjabSvxCE2S8P6V3XP04v//NvuJp+rI/qh7ve1NW5e+zmi0frit7+wbFvHnpx9640VWRs35mH
nvz68tjZu2p5fPnisepNP1/NzeOvL5+e9PLFL8+v9bt5XxSwtN69g8EefsWk8ANJOPr4g1++KOpK
fzpO5CuOOPcDRL8c/jj5yV0J439kRR/Wc/fuXfdoLdzSh3+/Gvlk/b++PKm7Pn3sqhdnXT2Y6gHu
9skZX2/DQ+2q/rC9Gnb615cX41317u7lC2Pr8OORsD7c5MXth1355all/vPvZ1/APj375ivjPd/U
Pzv04jtr+9pyT07564aTnHFOsf/EYBS9Qpwx6stPBgV7fm2wz3v0/XV821yfxz1Z8/9nW/78Oblw
93eD+3z/f4+3gC8wgQh/sungJZRiQn0h5Mefz5N+9JIfWMh3dv3THTy5s19f3j7a/o9d5POMP5O5
Nm7+W6GNvPIJ8znGwfegLUCCS0H4N432p8v5tsk+DntmsMva/RmofRz3M9nrZL67N+nf7V8s4D6A
13P/8g9m9NlTv/qRFXzbSl9GPjPUn3vWl5E/k6mU04/2sYPY+DXuP7l38lcDEHmFGUUy4Oyb7nUI
REIyn3EIUF9HoM9refGZ2Hw+/E2A/rb5vnGNJzfz68v47s8g8hvX+JlMeuzSu0r/rRbFr6R/sBf+
hIdSPvfCgADf8KX4Dhf8sKL/G7t+uqmvLvHMrD8ApL+/xs9k1gtXmOpd/Yc+8ZcpfkCB3/sSXPwp
tZciCFCAPznwc6b4Ayv5tnd+uYdnxvsBav9l6M9kMwgJ5Z2+u/+b2QsLCKYMo0/eKJ5bzxckkAzL
bzrjj63p2/b7auwzC/6A+301+Gey4f6uO2S9f6ffHQIkZAoBJt+zIJU++a4Ff2RF37bfl5HPrPfn
5ObLyJ/JdOu7/LHK/1bnw68OeUEAgfCb3AbyvUAwCJYy+Gbq8CMr+rbpvox8ZrofgM4vQ38m2+3v
5rpa/pzF/I3CzJOdBTVpb7rH9M+fnv/FFayNhfDxd7NzjkEfovx3mZRglCMh4PuvWfkPreE7z+yX
5T/Z2l9f/kC0+G3an+mpPdF1+Y8+s+u73pr7P2eJ/4sPLcR5fdffdf+o54AqeWBe1T9qjL15cLnp
/mlrdJDjV/ofNcf6zt79wFP5VIf/k/IEUCSKAv8p+wVxAeQgFggBOc0TGPuwgq/yxz/QO76DZs+v
8AzU9kbfFeZFCPWX31cmPm7AV9P/TKh24axZ/mYG7PuH4hL/TJOeWhFoFIKDFIvPOc5TY/7Agr5t
w88Dn5nuz/nv54H/T832fZD+4hoRIG38oeb3Vd3pj49+2BkoRD4b+slbPmptT27z895v3/36kiBQ
Wr8UEg+XeOJln4tBH53ry4BH0Nx+fQm+CVUQxCQ4rcQYU/ryxQgFC7iqeCU4ocA9MBJUCgaTVIdy
34c6JGLwBdBpCiN8+O3lC3tQzeEYeQVnByA7Ec45wj4nX8qsZ3Ux67r6shWfPr+oXHlWm6q3v75k
AVyq+XjeYak+F6BZ+gILH2Go3UoCy2ge7i6glgun4/9TD2ky9zK47PPUt8rIQiikE7ltm7G7IaRn
sZW8OEm5qM+rZRbHI/ane1T1fjhkCY2CtMwj7ag96fphekOmZLycCSJXfk2blRvtvPWLIrtZZnzl
Yb1c41Gn4ZRafZ4UbtmzHvlxOnvToOig5xVv4XOV5f2WOhaEwdAXR9SkYlf2yYBUXxiqV5nXORQ1
xE/iNu2H17loZ6ayNG2CyFSB/9Yv8eQizRbCw4JTe0q6Wuyz1u+4ShJb7rgbZaG6lveBmppmEauS
06AIUSHzTrHRetGsPbNBDDW5kj6tZ+X3rDkvacXTbY+cu7Ecm1K1bGbn5ZgHa1iKPS4T5odtneAz
1sxB2DM8RvXsN1s+Gc9XedXjTrVoMqrKdNQ3eGddXa0Tak4YT9E+YzgqUTOdjcFrSd1ZbzI1Z96k
eNu+b+lbP/XGcz2Ou8GK+y6fj2hl46TcL7XZjUN/HZQo9HPXxeMUKIS6S5Qm77xEDru2G183dVJu
XTOQ046JkAV5qjpqg4hk/J6gSRzZvt3BVp2KlF1Osm1iNrhV2o5zPCepvs8yv4jSRjz4JOvC1A+m
O1T27zi3ediUEr+ZfPvGtHI7Em9XdjpXqU6KixHP2dpvp/pdhfglr7r3bMHXArPLxEebecBx3nUr
m4g8rDz4rSWWRc5QNihm4NJLUnerrBHNZi4TEnceu+BNedWVuD3KyHjn03nWyiSbdphhT52Lxi5f
1kPJKNlTl+Vqqs2VzcZ5VJT4mis8IhInY4fe1yPYi3iK8SDLQy+dUqJ4QSvV5vXa98rIDG7b0j67
GVky76aAh3naqWJ4PRQFd+884y47HUS6etP6vfPDfrBM2XJOVT0LS+K2SUU4eaxLoyTtgkX5fpcI
5XsUV7Dm2e0q6RGnJtqWwxFuM3vnoaA6s4PmsaBOb/2U4Fx1DZ5z1U+VUSaDTonUljeebltFhkb5
admrVruT2fjwKZBnQdZKNc52MzJ7SwiLO1pe0HGOSk0us2VUbTGzqCfNudOFWfmTRcqXud07OtGw
YOYNmrMVJ75Tok5Lhbjc2QLuxzXuqLJpummcOaIuL5XolzksmTjKORHKDmO7YhVapda3J2Xeod1C
cxHmRNcRhe1X9eAhNQUL/MWWQLG8CdYlsactzi1RU5scVWhioS2LI69felVWXRlarxziwKtklJZu
VlmtL8vUiG01T+TKK319jnyZhE0OW0m5mFcyGItUSej9KIy+LU239Yr3/Zzjq0IsbVy23LupOLNb
3MpN2rS3TcXIqig5wBPFm7wMIseFW48T7AfKRj+2WTOFA+/GKLFiUdZLy3DpkW2VFY6HC2UbNiVi
hasRr6llwT1OdLBy6TiEXbOQN/MkL3RebRIPVcpvsk1aTfe6zM/rdGQKmk+iNIuytO4v7TDLcC7z
Qc1IaOWXSbZ2TIfCZg8JbF1ky8BGTeI/pEO+nds8KtL0Rjf2gc0uv88ru8k61qpuJOHUujApmYnY
lIew/6eGuZMK+xeeZ5sQeQMNCXObSaDXqAN3RLLemNypmoANzDhF+ZDUquqKTVUl/kkWFM0Z3E4X
TvViTkqfujjDWbLxmBvjWtCd7mcd82TcBBoHG5aaG8SXqO4JeSMNGcHiQZpc9dWid7bE6ao0RKqJ
m1oNfaKvi6S4zVq27lFKI8rfAPMt1YgFqzYNMTSJAWzZbQrx84zShl43owNUF/oeGwK+y1LYuJmr
os1aVS/BsGZG+2FZDOxhHNoIoEekivS+t21koRWdUm9P0YDcXZH35Z5h19/XEx8nNRHff6iIV7Eo
SNhII2x86iuRozYqlzZYG2yGk9p0uTgmdY2vXR604cQyz1uXyD8pZOZOyqHqUsW7hJ5NHe7Dvutw
BMgtV9qbu+3Y+dk+wIkTqqUaQEPa4qSrxnQ1VrwMvXwswDEtijJPGzUN0lfYN2az5P68ngQLbhut
Y1aWJyzpN5AYrZtyU09DscEkqzZ0KQanBoBAbvWwHepxQwv+3pN1u6cTQpGeCj4oOwm3Mi3zNqIf
s1WN8mQVwL1YOSz7rmzxmfWmUPMRtgDuYZj4TT+NIyzINBeL9ZFK7N2wZGaVDE1w7bk5WU1BaaMe
9X1UaztuMmaTOBEtv9Eor+88WixXWgQmnpKhPKZtnt14Zky3c155a0aN3o1Zne5yIr0Tr+jmc8+I
5o2ZufZUClQEoucskm3OSgIBu+cXfedVR6VB1U2P6+o+xXy5NBNNIsQnG1UsQStRiuQMSnpFxCuU
bC2el4cP5O8TL31CsR7qZu6Mhqj+gV9++fif488dch96qH77/tAO99un0+axuuy7x8f++K55fuZh
vi+nwvU/zX9gn08+/I4If4fqfuy6+87BJzz4SZ7wJaM8kEUP8hOf+ND0E/wRIX7WBve7kR+Z8UE2
5tCPAqIyJRLYMaRDn5ixfMV8+BLyWQ7UmUiY7TdmTOGJBimag+ZMMCJQp/vMjPErYMVQ3ZMCQ9mW
or/GjHEAIuBzZkyQwH5AGXSXkUOb09fMOGeaYfD3C+M1u9LQlV+gN3IUadjR4WrmU8iG+yWv4sTo
USWNXM/aVKqxnlNtpVFEOzSotvFInPfDlazLNINIOU2qLQEnfeaNquur4yWwk9KtacJK2hVkBEeC
0lh3wxgPrXgNDzpXHbNp5BYRxJNPhmOAn2KdtMZcy6RlYTGZZYdEQ1U32cvOTa9Z4t5KL18lvp+p
nIjHJdMAcdyq3uWZok7ySDKrY1smWhWinRTueR8GZVns4AmIrE7uy3QqlFhmT02AtyuJcjVDqHOC
qGrycmUNziI8NlfOT/bLkMS5N53UfIa4jWLdZFU8ou4qT7q4A6IjZRu3Mzqdc/5+WparfuDbwqCH
Rbgod/oho29J4ccZRBrXDktY+kFEcRCmzmyyqQt5D5N5daoO1AxNPNTJsiqSMQKTXI7NGOlUn5Sy
jnCVAifHVqWN3BaB2xKX7HUzhGldrVCyKNzNbwJ5C8Cq0mRUPKl3lqVx2+uwEukx8ypgh8X7Nukj
yBHuE2fWVS/DGvHQlINUEiWvWxKs+7lL27AguNwmXPR+TNMMpi8CGuPUq0JI/pAiNugBnRgkFugh
sOimI3hQxusMxH9yWs38CndyVc7ZUT7JtdcDAUKDoEpiF0GQVbKdhOLLfFvPXqF6bDcm7QF2SQOR
hAUO4pB75FPVh3XAHxd7OokHr4fHLdnL4TZJsxjZFaqkovjYiEuEHig9KrWGDb4a03Y/tfVt7pOr
ruJNWAgb/XU4/HmB7qC0/UHm/6Sl8gnOHQZ+wTkGPQVSBphjAfj5mwIgX2HoOQAgC8gBBSVg2W84
54MaBEqRkMjHkJ7D9X7DuQBydsA5OAIaAODSZ1h/Ep1A7vj0+WsBAAcA6c9gDvIsfhAcqEQSH9rK
voY5v/cbQ427IC4wWUxpe9b1kNYS3oCPdcWJKwjwW0hhEKqVMUPMS12HICXE7Wg85ZpsiyZ3NYwI
K1/wsEvIfaGF0p4LxaAjnL5f2lGVbAkTX69KbCLZXgcFeEEzqUJbNZXmyC4kTDBVpdArgfvzJptO
czrc9d7Qq7p+B606kMmTx1FWKkPDNW399TCf+FW2qkYL/BjyDkjr6sLEevGUcG9RA4mzMXEjcTRR
fYozsZWm3jtwPYeXcBkhFauTflQQ7wQwYLqedLFHrLWqGs/Q6EGuRbYpu5jc3pTvimY5NYt/3hbZ
u6HKrv2Zvk0Kvm6WFEjOO5MX+6GmUQ9ig1emb+bFnfIEnSXjGzS6aEDlSa/rCz9nFUzvjiTtb6Qn
j7lXH5LuJrR0DqvFnoguuxgHmLgtjvHMwqV4BO/eLLMfz5W/QmUmFXcIYknWRSaftzpbVkGG5xCm
87eA70MYYLrsIEoALxzHRkGAyrZjzo9tHqghD04Tv14LDJOLsx5wuu30keclZ2aYT/mycNWLBYSV
9DizHVVj1pcA3z0ED15vEiCQjcdQPPWkjDrh9KWrJvpWMz85AfZ5Pcs6/MDNRSvQGuVDoRDtrmtj
1/C06w9EfSiGCHLxEfZ/PXRpsPoGTR9ns05TzmOmZa6CcXGxgzW2Hj9zDo0hJwkQ5vpSJAONhmpJ
VBVIo4CKu34FDEJf/1chGbj995EM6ldfd68+hbIDB/wgZgJl46BUHlRHikGAZHDkC2WjgvhMEgFt
34IfQOZrKIPyK0JApggMCp5QNoAySMvhrQs4A5oM/hKWQfL1DSxDDMMq4HpMUvQUy5Z87Gtv9i+w
sY+4qC2A0FiFde+dQPIxKa8i26oNbmvWnmJSPjLjWSA+8mJs0zrW/vTGVNk9a8ROO9BbqHc8lu40
N8uxRMWRHusN7orYzkssPXdM6QTglimXJuczTlaWzxco7Y9s2gDja6KEOpWS9Mi2yaYrzXrMMgVJ
5kb692WVxw1gUGGzMO8edHDuD2tbP7BF9anZ8i4Iocc+sm0XFjOJK8xWVW4jO9yL1gCxbMKxqlbJ
SE9Eu1uEUbrGF9NANn0/RZ7PlZe62ExFZJL0Ihg5MD4aYlSskm6MA8h+Z9cfVWW6oslpXffrViSv
+2oEatPd4NIHJ2KnbSPOFh8ITVmuRp7NsPaTJjAXwHJXdJpggb2qkNsF003vrpep3pVVEEJMCEfZ
qrwB2jhh1S5l2FW1mjFS6ZTFY1NsirRRqWe3qctfuz6IpW5O6+K2BY3Pn+QJ0KjY+AtVS29XolVo
xnFgsZqy+qIBjhMcyE7Cu0fQh10km6IPswMlcsCNmgNJ4tV4mxxokwX+lACPwgdCpR1QqwI4ViLS
Iz8Xqxq4V1HBjaaNUfZAywYz32DgaT7wNVBFe0U/ULgDmZs0pjE7EDzvA9eruX2faYJb1R4gcDyA
YSFmFJfSbZqh2ogDYLJyLEHnHahqAE1BM4r9A7yaeTzNtDxrSbK3gL++OIOc5ziZqjUICKfdB5Tm
x+kBtlnTNxDxAMor6ZZdSRIX+gegH+ZxDlPA/haP2wBigX8ICqjxhJogTlDM42Jxmwo/IogiMq2O
WUK3uSsugt6ddBBtukPY8SH+TL53nJrxhnTjETsEqBQ0WwcRa4HIJcc3szefcdDnFpa89nl76iDO
pRDvLHrXUx1JiII4xW9HiIpm0O/miZ7nEC1d8jC6fWEvGoO3XY0ibpjCQa1AU17jeVL9DHqdPdXl
Lbfptsn1hQ5uZ9CkE16EdGhAkvKO5xm/TpB+i3PRKam9CwQ0pe0gZckTfUcxmKzXhZK0OA363O37
ZspC6U0xRcW9qfMjavnJf1MoYADA3w8FX5pOf6tn/Zb3w8iPoeBQc4a0HUM6ioHSMvp19g4sFyI5
h5ISFDzlk7oW5PnQJg9/BMJAeCGl/o3VSkwCKJYxKIcxBL3yf4XWUvb7UMARgXdakE8+lFSf0doy
0EmT5eOl1VO3Ml6V3YICuoRBMh0b24AKPqA7bmQZF8BBGjFB0aXd0CaLGtaC/gbsY+UFaDyeK2HO
SyRLtRQoLEe9JUOwTbMylC2OkKjjtF1AcedTEQ5LeY7rEhhq56PY4RaHOUWvO94dDZkJi8qbVVNm
ijQTiHhFfdQPbZjnoBz43aXAbTzKQaFa7PyqgPpOdi4r+ZbBwKUyYSd8cEzTHcMbmKdA6WclqFVt
MO0Dwjelrfa+ocfQJ0sggT7qOrOHIlgEemoIOX+opzJMkzJeArZplzeMAkRDxaDvgTPr1xWe4g5K
VoQ1akFL6OMuDJy3atLxOkN4C/W3vT/tES+O3DjsFl+uLTruPbEi7CJYqtN5wufGZjvK2LEeSlV0
h2zdgHf7ynAUzdn7ebjWTR1zO8byIJ/W8A5psC58mMkHEsv0yTz2q8ZZBTHuspmSLWnaGATfEwhi
G4L89ViYfTIOQPJ1PKZ5PBh2DVAXZQVk5qOJ5QJBQPdrPI2HspZWshQXmr22A111vtz7DYPkZTme
aVmGZPCus4BCsIBo1KUzj/rAQaKdhUsDWISwUH3bnvlzztSYFDvHZdSNydYPmvNsIiozTRwkzsZe
0oTBIvY1E29tBrcutVY66S4Cb478HoSSyTWAeaza6dpC1oPRnpUA+su28ettjiPnvNj29H2eeOG8
yDA3WbTMYzzNLpxzcwSVPR+dN/OjTptQQAlBkgG2leWQr4tLx0pQanGMKnZGWdUpTsjKlPmtVzcm
Egt/Q4f5JkF9yLJyVZU8dH0RC+cLRcrlUQdQjs3TxEao6SBGQ/FZIZYHkI/gGzdmF8UstwuSa0q7
tZNiULLpCijr4ZVHEqjXMQxVsvm+oqC7UOGauG/Bq8aSl4omiVFMdER5supAEJkqBQ0ukDTSqQ+X
ScYJheSJ2pscD9sklxlEU3E9V0hlI5xqadgm41Wddedlrt+4oOlXha2yRg0FpGsybYpoKBDZpNID
HgbP2+wNoHFX9b4JvHU+l8d14q5JPb/PC3CAafbfstzsphxYUcZ70MsGKK6xcHY+hB/IMrhQpQR6
NwsgDfnKE6BEAx/CdX/G6KYH0tU111UrLzWuQs/Vqg68EGNQpcBzuhGE+o5EBVtxaaIan7lBwzWR
GussTsUl70B2qY4DKGuaqT1uy2tuypA2QJnyt31TKg9UxUKu20xGhh0JKPrNlQ0FW+JkcGGTddcT
Sksolws1i3zH89dzC1U0kvoRVFe3hI6rpJ7PCgih2i4RnXWYTdkxWO3MjcWKAfjJeVgDGl5XGT2x
uVSeTva1ICHql9XQ17fgMjxhYeX8XWuhEtaQeDIurFsajY1djQldQYC9DjhUsVkQQ/U7KjpxvsgL
mvphEKTrerkWpYGjzRtPIkha8/V/VfiFSPX98PvVGwPfCsAw9rdcDPo/pIQ3cOmn9pEvuRgJCIPw
y/nhnTP6lawEXfiQa8Hb6z4EbQ46OUTFzwEY3hAF+ZxAJ8qhJ4VLRv9KAIYmkt/lYiBtCcoxPczz
O/mciA6VIiOXJAHUqZMrI23kCF0FHo5SS7aztxzpTm+wTG/6Au8m7q2h5H3cc/+kGmSkdbquxmk3
+c1m8MvrhMqjboCI106nmRXXDddU2Z6FU1mrpObrKWnhsfU2PNXQJoLWosXrJdg1dbebJ+jhMH44
Z6mqoJyW5osSfFC6m6JeD+esGyLkjVFQTpu0o7saIice2YeuhBLUjwI0YChaqaCzEff2vd1WQmxZ
tu7B9a3xQpemYeMgmYO8kecgRYDopCcTLfINoWs6tuGSkZM8LY5Htk29U2RO+/ItDm6yVK/g3X8X
QlfNg56ZjZhLdUg1FEmH4LhF3lWKgxWgdBl5kDqUXG49W4VoFudkyNY2r49J35/ntrwEhXrTGu+q
TOoV1RBa5BjxFPSflLLrhQHUJr6LEXeqqTyQ+LsRBLIlD9FwN7ZyLaBSkUzNyh/7uOLjcQUl7Xnk
b1uXgHzl1iJzgUoM22S1d+Y57zztkjW30EWj0WqBKp3KeRWJrDkHZXzXz25jmA0dJpExy95ZsYP/
3CHyl3QXQJhMDhfL09elSTqll6IN3Wxily2hx8uoRjsgaddT229tk11OSQL13BIUb0C1FvYmgRQp
8Lq36fRImzyeTX/bQNQcAZaVNm3o2ZDpeT87fD4ENOKFC3PoqoHyR7NJuulNGjxWiVM9m1RpHj3o
cQE5Y+O8dNM7drQ0/KwvKkXb28DiE4yyVSJRBIVGSP73mUkU87t4Tu0jyYcjL3hDWrMtcQcJ11ow
qJHIIg/HwK0dCW6XdoGLzmfdDKwkC8hO6hZURrOVjdxrO50WrLrtW3Qlcr7t2ttOXs/Fw1idDDhT
VZWdBP4NFEMhNjSvq4yseBLEObF7iJSnZh52SZerChptWgsF/hSejOCqSvdc3uL5vTboBDeQeznF
QA0hHmTT3maAoFNKpGgP9YsRZ+tsRnMYQDy0dXOTE+CAdafKeYym9jHtCTDFvYQuqDEgUNnQoWZn
2ZIq1t58aHaARoDM+Upn3Yqba6gyQw3ktdeeV8JBFJJrv4BeJ7FEAXs71jdaeHHRXbYOAnZ5L6DE
NHAQJWsbktaezXJWBLaDjGtp+7Cbsj3zs3U5BKo35qpr30NeERbQtIWhv8YHAbkDS3pQCoYeGIdu
ML/BZlQCmVi0TA1NDv0aScyzAtZ3HHRpqNs6NNB+MzNoBYK2LzNnYYYgmTTDfoF7lfKkndhrLYeV
64YT6FELA3GfVc265g/W5KFP7koLcNLz1YJlJKgOCfTAoI6FRs5hlncnduoUSrN1wTWoEvyEsrdL
D4Un6MzhMFXbuFhW676bzj1qQmZGKD6Bro4fNOniAEQgZqHHZ6oj4syVB4ky5be2StZT74HwTtak
y1cUxdBA8iDpolC/MdPrUgZrXDcrS9qwtrfIwjYs8DTdOtjIpX7ICqyGFOShYVZeMkPin22b4gR7
aGu9h7nIle6rGC1+lIOnJpBeZN3tsAxbUtTQBiJU5sRq9uVqhE4FqExGA71rzV0yoVAOoOkn7ZoH
oPX6y6YZ67Xl791UxE0iQHtg0ELG4xr1MeiEu65dlDfmMSZv88CuoNtF4nrNiot+CcIBmv4Eh/a1
5lyi9KIizVH+P+SdSZOduPr0PxE3QAyCLdOZ69Q8bQi7bCNAQgKBGD79P3G/1+45ouPd3d70ot11
3HWKIz1P5i+zrAlyzPvkDqe5kUmrx2sxYvzQVhLV3aMkN5z2SaueF9PuTPdhBdEusPQrqeh2suA5
IxenGPLBO5RsM2c1rFqR26XIegx86/g8OxfdfppKvLXRpyCac4/DB51mfNhYSsSHPQBNcWkWuNWx
ls2OyhBLTJO2YxXXhudQtq5VCXoQCGVn6rRS1bMcIATNmaqGrN9IDYxEPPJzovV+qLxcFOzQm8+V
umPS25cGT5771lQfXAZxLQ5O+9CGNwu5ZYLFUFG84s0yIlsC8kn2IKjWr1E0pmy+tzj+SsA6gt8x
3KBdRQ6V68TSmRNgn3m5uHsgWmkZRqmo1NWlOrFWcZ6cr0Okbuy6vHjMsuLVpxOk+RFXl+PerJ30
EmnNX1lP5jjql6uFb2HyeQbY55UsoDKq+bh07MmU43Ol7RAgGT0Fq3WmAXnhXXM7K+vElbprbPA+
g+3miy4vjcawOXaXdoJUWId1UkSAcBw7HVZ2ywq3jwFkLXHnT8fAKy4ezmQip/u6qR6m0eRS6cdw
rI6t6R5HN8hmXt1O4XCZVkmBrtIyBiK381b7aTXW0eeOTpegfwyn6X6Au5oJIvbFiJnYwZrXut0+
1DjW+jBsY1qIt9J+UAO2GKcp1d42YjcW4a4R7dGW6/PSC7hTHYXxEIaPwRKpbFrmGyNKkzacXwXw
mNBW934HlcC2Xoe+fi252lXM36/tctCjc+mjXscaKNwkmyMt1QM4qZ0eo5u6X89MYcK3QLv1izzY
wuRzYIu4r+FzhUPmyQI2uYMTdeS3/do8QEO8AdZyZ9Xwqbr5WDDO8Viw4zLNmWnmoyLue2VVDyIK
3/C6h05Yl6YrRFyrDjfGjPPPjP3FHaIlnR39bFntzhU0q+SQjnWYh5a3h9eU4wDbu7Pas9X9mMJ+
Z4Ft81znMNklXsEfL/+bwz0G8e8M+q+8EjgjfwvGZHBRfttU8xcv8UNjAxVDIJO5PgXssnnAP0b8
jZiBaRwh+PELO/PTbkEUBEFp20HU1gFH8xt23HMhBdg2WFZM/2Ho/5MRH+DPH0Z8H1YLNoXNv3Ec
+3eEjAmn1h9m9cgiUhxoAFfXAiPXgenarR3UKu7DTfa8oE8aT+5sDwPcd6h6sOD/gSB/7Iu1zBza
hrEKhi6mZXW1oKLn7tBiMd9wa0CjelcJWru5U3If4sMKyaSbU9XDXIi6q9+CTS301MVhP/DEmiKW
FJihY8DhzoWq+mgm8awdhRHI7zZ0pJOZGGidfCe1gwFuyNSEYTKOPQzj3n+G+fn6nd2GK0JjQewn
uULl7nzFElaZowgqO3VGB9e86dO2FCL1peZJH/ixXYxf1NDcalmRXRjNADCj6Ot33LvqTHv+gXnT
yK0T13JYEg3eta9x+9DXhky3nnitffZFwofD+6ESIN8E0kfQ42zkFo7nGgBgDbEi12bsEm+uzwAT
K6wm/W0FNEY2jZV8570xXY/pALgvtUd6ZrrlYF5xnGuc8JDHQH03VsQyGVVrHhYz2w01f4cdfSWs
hsziOYmx6B1x6udajzdjiyu6Ze+ceXUcDHOR/AkLPkftK5WTk3ShhZXHZpCRRFuldVh9Ge1eZUoM
bTypqj2OVSXOM+1OZB3kzuAYTxil96bULA6F9bQB4m5d3+GnOMSwBkIMLcefcDgBc5kqDXWznyGT
kGXQYPpZmdYD3jQ8+5+/4+JcEsyr69wmGy/ul1AsfSym0G57k/d6vAvLpclrv9pbwvMzK/KhTJYz
3VeVa4+Hv0HHHagg/48ZL3FAE2DPTSZHpvJJ1CtPIlV4ah8U4B/3GyJObbb7hQ8PF7mLAuiLv2fE
g9HckHD5qiSLcDV+Z8XJsrjPALKbw9qVfeZX5G4Y52FXtuEcU7n0aWSxl2WJ9gZ/Ax6F6N7Twt6H
dCAJJaWVNzA4M5jlqVuOBqylntNIT8+t2vcT99PBgvLayRHeG/DnVNfhktWlaVKfYpqzKJZZUQ3A
EzYaHTz7fQdJKms5RHAXt3beUneKvbVyk4Lac1qoam8mcysplOVucZ4qO8q4J7MNWY8I2YmNJhi7
+lNLyLfJVGfey6yT1TlQYJlUkRdhePMDa9fdmvHGhivFwCVPO87Gx41yV0pBwA7pL5S7aGY3Xjrr
O+Jegtvm3HugyolLzp20LhjIEX7njGvyE3V3GvtOW2ve+ki89JAPpmFIAh+fMDM2Bx5WKg7L9YYL
eYF/mWjQolEvzrUmp74vfsvHd3J6XDwGzvTPEPnQY0/hXL/8oOT7UYrHwhQVMHpsxLXUC+h6hySi
cXguQ/7594D8aDd7EOAXj2IW77ty2/+12jv2+qWqPg9zlRSafFqG1879ZpEZC02Zah0mKwEyrOw9
ytoQBXhpvMx3YDE2p+9EvaWHEOcJ3knsWp/9SGDFm0iJDSRyE3cJ3Pg7W88dATHTD91s8luV+gvF
6rgB9lXTTaelb7u4Jd2Kg2z8sqyiTnRRuHHVzzIDN4epd6PtgeqOYODUhD8oDRIqy225klsJSfQQ
NKK4OGUrUrv08MOIyiqdhbvjU/PMTfm+Wu1Tqcuj1bntnRST2vULALaitC4jrEYp+iidvGHB8IhV
xw/ai+L9ewFyahfNlswsAd63qsPrpBAHIqqJMr/T3pPTw4tctVPcGzvC/ok7royxpV913VdHpuoa
fkJvTTk3pr5zHX5FVurOXedwPym8dXPjAVsXq0lk4D3KGTs9aFK98yVpTnaLz9DSS5FRf8AORPow
4RMeFH/Q460FDjRjsIh3s17XhK3MpHPrdZjfwUf5nn7qcbzHxtPOgZGBxTMHSW8mZu3LutYpYwZq
VtHym5LAK52d1rnpQr9JiqIjyCSoEs9WTiWPdRRCqcFD8QTdHtLPBOU+lhOBnt3yHKj/O4SEz54P
e8VjeACq5s5RuFbX9qZY/Z1VNvdLWA2QzJpdOHsN9iB8aCpyW5VzETul7qEazDmMH/AVysEpUuzp
YJEY8gXAsOCtcNZdOcMwlvpb6NaZJYur4OODI9rXllMv6ft1R014qro+t6LyTgNhb2lzWYpiRy33
lg70Bv73o+CC4BDDLR0V4koW78Yv1q+gGi4yki92qTaNAPq5DnZtMR3Dnh9h092MUXuwVfSJ4V60
nTl1WwgDgesdlVd/5dq+rhbcmMlu7qvVdWO6sKcpnA5W0x0Lyc7t0l3xRmeh598zq56TRpL7NRCf
Ga0kdL/lRi7TyWfzjVbWHVD8w6Tdr6Lyj7Chbjo36HMy0FfGhlMnIxtI3QjgCtwnFAQEOwLTntq5
nHEpeueuC3Gjy6GPx7WqEPGoxH7UPkT4hSWmMy+B094zhlu+rNield2cgEH96vI6PA0Ub2Wgqveu
nD+Czjo3DnQwVzYsw1u1Yu03LMOm81pMoZv684ILuYjOOpQVEhCzyLCYirjxWwunBrFSiVjbwzhW
xel7Xo4iK5AKl7KHppXjzWBZIg8buByNDiPcEEXdItsG+VLyvnzwexB//5t7wUZL/X4xCL6Pzn8t
+v9omvmLr/wp+RMK7tPzMPPbNv31PgB8ygMtD+6J+jT8jeRvEz+kmNAjhDtBffxG8keD2db46KFO
kIDQ+ifrAOb2P6wDoUNh3oPpoj5cxt+tA5OcYbgG4gHx1TlGXd5Xq4Q8v07+zUiXIl42icHdxIaG
AoaB+iD5t1XJ8wpvkkObAIeQ4khLrdnde9AuPCzbDFoGeJID4qn7lt8tYKqop+MovPepSdX61QP1
2Q3+JzrBUi3ewGoOBGkbdkcFDrGHShxQsAi39oOJdwaVxbF9TBJ3bfGZ9PVBQ4lxoMj4Nc05pmhT
2TsJxaabgYOZ/bI0WPyb1NY4AKHvlJvOA71HQPcJof8E0IGAmOx86ELYuDKMsrEjPnyoRiNZcknE
0YeaNOrPM7Slvv3kgGcZn80UxSvUp4q3eWCGnbTHWMMXaEw+QKvyGI8daFcQBV8LaFmr/7G4cteT
5wY6l1deVacfe6hfFlSwWk1g6tEB3JuTp99tD7e/7s/Mre9L506HOgMmlcxjmLj8nhVqpxAuK5Hp
5J9W6HMYsOJFkGNJxqyERofcZ95BsxOLwJ/BSPHULuTOfhsGFYQzpus0guQXTJ9G9xMihqmBHIit
LrfsKNe4vsE1JCNkwwjyYbesuP6PIdz1cpTQa6C2WB/+SA5gLDwIkEhAJQUEydWa0woCpet+GNzh
Vveq2SvQjVjpl3BE0mzoctFGOza/amcfQvR0Cv5B7MyBFNpYLqY3nO4z3NrgpUawwoVwWo0qldju
Agiqk6sz6nwgopx5zQzbuUpw8d4xs1MQYwOEexlke4vBS/XeB0i2DN/7Cgm3aXRsIuyU1FswIUA4
l/ZDAZ1yMTwZaR60KmPtmYY691l0AFSbyNDZdcFphdTC3CGZCD8sPEKQV54sH0ZDZK5u61zW8Op3
wX6g/VEbf0tVXu3OPhQeJCCi4CIzfqC9k0wdHpC+3DVrfwmEB/OWpRaeFCJIojz4WdaK+K6NzMIz
H03S6BERjT4eCh/ZMStf4SW7AAuEZ4BUsQsx7mMZuLverfNyu264t/OHNRWtOhHIRXNj75zwGxvJ
A5VlIsFgjMaOgWEfogJkSwcMbOXHWWAS6VzsE+8OsIFiXHZN9Ur73SJBX8NmQ1g7KWosOdpOhuDa
Y0GPbHOgC35OfZkHwAMgUaR1R7Oh1skSirPT0tTGNhGCG+YNAr/1+xzNl7nwds04ISGK72LZYI1i
tyiVM0jgTLHPrtHIPgh8AloPHny++sV1GUZoeqb5WHV5UCy4iwaEQarpfRY9snewE+hoUjAiJ3u1
LqGgHyVfD7XlYv1oP9VIj2ediwSrrBADX78Fani0l+kJ3OZtI92Do9u7KeQnEKpQJIpTN/QqtQc7
bt0liimHP9+2npXOFH7U0GL89JvoOow21P4VkUNEiRBSsT2e0875YteyjhGXvw8b97VqVxkjB/ju
a4rwrDwFAG8YDY/4Oj8WmqeOTS+96x/DcWmSumIvY/XFdqYbauq4jOYH2sIkowzOpAwFxh0v2Ht1
sKv78ps09Is1Tg9y5Fc8lxgEmwLh63Wmo5NpujQbtmjeG+O2zwsL75UpWe4v/pgQQv3Y67GlR9Qb
d5TAACCORKZ5dkPr3C3hs0Bkl9UR/3BlD+5ksPKBk4sdIP4nHhl1X0jbHSpFDwqzTVnVeYOYQYNh
Z27WVxtPdWi3uQRaKM0zJNtvYGn3CyCCRXmPNg7kWQzXFmHCAQF7FeH9HhG6pvVjY7cn6qmjmZct
IQS7bsyW3jsr37pFcPUea+JOT5CxS4kfGDxiAZhj9c5yxbxc0oXmyneRuERS3Ab7D9tjz9ziaFos
PE4U23pDgVh9EJpUCTOswVOIH2SPD3BRe+TfNef8LVv4o5Xtz+acH2whMHNghTYBO7B1c4Em/5Xu
GbjAzkEKEgwzYPt+g5kjpofKDIw7WDbQSPcTbXD+g1wgkHWgDx4EVbzqPxl03O2v+V1kBvIM9UE9
+vgHynfw57/qzFijFpUboXqYre6jCJBJGzqd1sqc5aLSsIRl7tMspN230oUQ2TrwehGVb7l+ln3w
BYGzrLDkQUcF9Bp2HwHv6Up8sKBjBezS48DGlr7Ckh2BBHnLu3QANiEKXK1PndIXA2evbS9LxZJB
Ps5Ai4yBtQfUaCrvEIFImZUHwJA0cCQBLEkhBV9CwCyNhMUnUalhPWj1xLTMfXc/t+bW35DvFpAd
kKd5idIWCBSEVPhKDQoKgsMQekkHVKqdogHzzTZZ1McFMBXfqCpUY3xTwKw4cCuHs/0E/Gr9zmEB
yKo2MgsJZrIvNlpr2rgt8QvCtdFcLbCushnuKmSBReslDbCvCrE5eDJP1saDcYBhKBd5LtYqtWHh
mI0cczeGDPg9HHpFKJYl/TaBUICpGOD0EEXqM5x801zejq7MagpW2Oi3IVRY77XY1UR98EBGV/Qe
OnHDkf7B1nqtCLva6/COMLoTaz+4n3xUaPCmRjXDOtWph0qUrHFIpph9rj0sq2oLbfYwoY3DL8EW
6KyEBN64hTyL73lPjuRnv0VA+wjgYkURg3cKcIbzFhUtLLqztvAoEs9ZyZDQmCH3GvhVCJkOZH5D
10nejQDrEcvTWz6vWezHBYG9GcE9oh9bqCD1eHbsj8A8UOviIObXiNwCQD9XL8wOT+X4OAwftr5y
Ju5bz46byc5oF0MuzYGGuEDH6owTegNKJi+957lprwOQfM6q1xKIfgM40ivqvQO8cgbCb3CfKSD9
iFBj8rQwGgGA96Gvwc+zyvao6FMwP9f1cCSIB/T9AnC+yiViA3V3Y7YUgap47oZtqhAvsAS52nj2
WK+eNeIH1Yi8K+IIdL0id50vXn+2cVFGCC3YCC/0NsHcCXx+UzQQbuhLWKtNAAhoTieEH6zWubeQ
7nKLLwUjcN70awkUtpiLTPVQLpBiuNKpz7yCgF2NXNjs9CAjKlJF55vSr691gUIZZIvcClhvsDyY
Yf3EawmTrX6OWnKpTQEkZjl1dfPQ6OnohFbu9ysegMrkLpV7bpu8HItDwFfUmoirE4A34f5pBKCp
pII2QE8CrDDuPH3n1zMcy5rj3lnfEZsvoE+gjGQZwxtnUM98Hg8U72tk+Ivdr0/zGnyEKGrJyspH
fL3cT3PwBbj+eRhFXvHlVm4woqCDiXlhYtF0qewgU9F2+VRE8mtZt4emQKrBOAIfrvpp8cELRc5d
qEdkVKtlO3BobmqeTNZyZbP6V11tHk75v17hARZ/L5X/Vd3Zn1xy22v8MPdciox7hPYnxJ7c31xy
f2nukf/gWvweFnV/YeRxaf7k9/5/zD38xo4/XHK+gy0bwDha0BEO/R1A/8Pcm6riLDyRhOsFilHu
TuSTM3qZFwBMhSnd+jVwWffaGQJ01bqYyU8RiMXs+dAx7+zKIadOg8g4EjxrUydDU166ItpHvTwX
Dd8jiwXc4r8eYY9FFdDQ89w/lr48zVN34tETKCgonu2lqhskHl++24dIl9YSp0f9EW4fEtwTC6hr
pCerxK+eCr/JkLA9/XAUqwpCJaw/6L9OZjGocqjZuEJ6RBp+Y5vaSdkwOSJUvMSWjWgWXfjRHxDl
lv09EMY3K+xOTm+dF2LtCGqy4qBscwJ+6dD4gYyt3hwWhfGxQFnGrdHOBVT60QjyuV/EbbEAmTZd
eSV2kS2a3ANo3GKZEk0yaDlBNtvjyeJjYl6bFXk1/y5wfZngFGn3K0qYnGiw0FtFsLHd2t6tGSsE
GU4BqKBaZhEb825qTz0YvskRd2zos6Zov3n9fHBgdOKShEYCWg13PViEGWm2yD+2Bd25VihivYq9
MOXOafHDsKpbdyCQ8GmXuvN4dofuPNvuEZ1kTUpcbOkYsLDMQ0dvfKTyPae6TnUfJF7hcFxPKAQx
qzrPvSuTVTh7i8IKMAblYCv7CqU7dXm583HaTtrcTEzt3FIA8nYFqKg6vJ3FOCIS7GO9t6Kc2XVW
IjORTB6yvL4CY49mkNBZ9q6GkIwwCRLs/nmCdx73q3uerPbS+wWiBQXWWn37R6m7cmQR/0t0blEA
vHGj5fBfnTtCxUM8FsHt/4bWvZgb4PkPv5G7nVZDhyBFnfxTuRvHoAXazQ/TtQzLFLAL4uqgMbk3
vTlTUyE7uowppn6S18Mi98Bwvv61CG4Q9blH7uVfIYKHaO3HukQQ79pUaDArf0vJ/KE29Oc9+qev
9OM+3V4eEjj9Xiaz1Sn+hGXCiKCeHJllLwy2CsafsAzFf74tjag/9GyQ6j/vU/wCkBC6OVTzzYwP
UcP4T5ZGNBz+8T7d0nIBkB2A8Vttw2+WxmgFnUDm4KGqlrd+CMPMq8LxpCOIX5WFpjk6QX2FYUeX
HLBdeSYrblS1eXo9OIekqtcoXQX5mE11HBnkkiFEAHnwVh+qCyzBaTMHhzoCu7AZhl7jgh8t1tvF
rXbjGuz8wrvX8/A4XhQgawe/oy9umhLSIUpeqG522GGwwrn3wDt5jPitAqmmHpvJHXMkvI5FVQMg
1g6K2Fq5JgtfvyJLRVLfHfZ27+N12hfLTJfBJ5eQ+3kXEJ7Z/vJgOfKzBG5pXIL82owcnFfEMwne
e83uBrc+ahIcyw7BN1tllaMemoDumKsSNomzuyXlOkTmxJadm/DFpunOQMNfCRNOYrUriggaeE/1
2twNDgCgqALwjvo88L9Iv/VbjpQeisrauz3s/wmy4xJO1V0ZItunt5RfZEp+sw5VWki13wplGKi/
SrlwxML50zgBbEBVYQhlGQQRRQComPfBoOLSy41zgbi0H9v3zmTNpNOCT7HdTJmzvuros421zlnH
2Eb0pkAKwA3SdoGb51YHq3aujYU+jWhHLJVzZCN8RNCX5aRQyLNgSFdbrYUkYYyU9E1vHXt0Bpnp
6hSXJgIaCwKZua9LiKY3ESvLgDsP0HAjdx15c/CvSgSF4rWgqSnlvic0nzSubCT/bPRwWI2fW7M+
yeXrjBota/xcd+9GiOO43gQBwl143pzqbe5MYkP/JsEnhCBu1qW/86I3MF0Xz3ud3CJHcSNJnaY/
2IPyY1PCE6StD2mMQBheI/R4lhWC103zhtX7BFUnx69k6dPBtx+bUUeAkEAiTCJzAngGiOmiiojY
HQKD470dIOTdtv0tDxtyXoUFW1LiwVmkG/2r1pLgb9eSX36R2s8TFBYaKmhgR25f9sNWhHeNnhmQ
hOiTsbdQ7o+TEwFex0dc9xdXEUfaf09O8h8XJ5kPzxA9XcCpXHzVz00kiOD/QW3zHRJSFHX9o5Mz
wCH8O7kN/CN6agFDhvj1dc5WYfsrua0itjae3TyWUt0O2roysUlW8sy49dDaXyNUhkED0IDaIl/G
yn32dHCIxGuLCzxbTVUh+ACah1QlXBuwBEadJNJy2lMhPGvXi7kGdC0nyMOzn+Ptk7Fv+jcw74+l
5cAfc/h9F0HYL6nokp4haaucc91AW/On4q4XeIVWIkrK1tyPphf8TrdXglqSlHg+EIc3x6suokdr
qxaHJUBmkhfFvmWgcL1AflaeTFVY39Zss1kAngxQjtDpaVbAv9UnzcRrIys0udTrB3etOunoiNrJ
3jqgy/UzrrduU9WWOPD1l3ImG1Jg37BpvGUm+EDtwImPosPhOtybYn3vHSuZo3JCGJOnbiBfA1e9
MmMhDyVQ0hs1LQpixjvbkUtmOXxvov7VsRE1NBBQQglHTRe7LcHiE+tpwUDfKgDTctrNHkcXg/NO
Q7OrRmmjItdOq1V+66kPpmpCkYwfVVcbaiEcXLO30e+F3t3n1kbsWCJ9uqwBqi+RpBgd6xBU0+04
t18sV+6t0k/N3CLBUQSfmRlfulE/zpBpAGhVu2AyaFdYHKRawrfASzVnDzzsD2E5PbXIGhQ8JQrt
pAtIR4W8i8CqCVm0eIEME5uFg10DMz3qVATBsRrnEyHIpyG45IthD53tiIKGOx3BSCE+9K5gyReK
9EcZ7eohumtldDsSskfPIyylftgtY5R2lvsuEJ4SCFF5CFOJQeYUGuBUAidnn9DWhjt9S19hnUkd
XCvCGzK8Mkv5SJ6CQKu4sUxKF3HgiHIpRLpQm7uvEfEqdH/XI/IlJBBbRMAKRMHGLjxoW+zKZU6s
xT5Cf03sAtXJPT+xJriZtXvg2s89X5axo2nWd0saFCSFu41YQ23je4+mnT/RTJXsaOwqV0PBkeyN
9q2RGX4Ou77fShe1tVNtd6YlxC17vPGX8IQE/m7pTSa76LNVeSkqNBqED+xboQIIm0i9NPBnUrou
KBSSrygk/lJO82vluAITBySBsvoGlQRiXoeBo7ZzD9abU4AVxPoOdM07znXXJMPkoXjJOsvCN7HF
0ZHhQshE10yGgPWpnNHMMrunycZjN/dvFH0WfgRLuvwoGusj8EI49q3IfDl8Gpnskn8VmoKT+691
rT/+Ark/u0zwEj8vE9QtID36C6GyqUo/LhMgjJ6NcdsJcJz/1ruhMHwwa8OagY8IIuXXl4mD19qa
0FBP5mB3+GfMOsGu8bvLBJQ++iXRW+HbAXiV314mofF47djzQ8OLuO/qO2RoPwtC0p4gJmbTl3bR
eYFIIS+i00R6HBw4er/38KA5NgIbCyajD1PEOU4c3cH9aF+kJZKuLN+jCUlxCDmmQAkf3bfoGg9C
nBV0fKJIWo+jg2oCUOuCxmvV5YXXoIq1eqq99Q7tAF/cyDwrj2+WQu2kFuZL0a2PzAaUoHzSJmgh
qKBhR0NSNeunFpCIh/TSQsukIlW+9Ph3dp8GtkmsKti4gA6XDNkZXud+EH4bg/kAjOJQFu1e1uhB
dHuQ3MukD51CqIp772OLDoXugxJ1MOYJvc3gDOv1yXJgP3SsXNPR946EmVf0cD2aYAIzve47WxpE
9oqPxWk/I7v2LbAc5P2RYMs7j+1lq67hEmUaLQVo+I0BMKPjUu5lqdAjWmaLX8Kowf/+5LwrBHha
uKs1PvhiTOF87EAUgrygAD4JxnGNnq95t64+OEtkMGGrjxUkDbgJZKawqFU6rU2+BnNe4wwNKicj
hCQQOBGfcnc+cghIL7GgwK1PoPGDtrS+RgivCnUkQt1GvYVvuD0UXHwNIZqrTT1vIaP784Seu9nE
alPYa0jtIyR3VLmdZ0jwFFI8gyQfbdo8GlM+HIj1irYvIXRJARF/dvvndRP1N3Xf2nR+D4J/B+E/
2ByABVaA6Io5BvYNeKk7GBxrAFtPBOZBtzZXCjOBwVQQMBfWqd3XEWoQqIGJgNYpDhuihx2BreaE
nuakgE1RokpXwLaYYF9UsDE82Bk9bA0TRBmDzTGU001J0VgExuDgtwGcEO5ceOQ8BQXWj9a4b2uF
ZjsFLggwP0fvuovjk5l3lE08ihk3ePAQ1vgwjItOENOLKzJnIeQ6VascRWB45usUMwQWovKhE/gP
+ZoqbGdaF7e2BTOQDwdEQovaNLHTRYldghzEHDVLkUbyCyNILivy0WBb6Iz5mBo7iwpUu+tqD4D9
xCmKHxhas1mGRupL52BC6LzUm8iDcknS8f6lAFxQI2S4hcp4qx6XwrtM+EyRecgGDe1aRHGLHIJN
y/PI66zwBMgvffaj4t4tV/zKE0TTF/Q7NahNBwz6WHTAngWQWbRZOWo5FVWUlVP0VtgSH7ooryNg
qxZcPgSk9piW0AsbHdHb+tUOmi9+/7S241UUAG3q6aVs7uzVO+DOT1QRIbUeAgma33pdPaArd+/h
+yHoKmOVQDshR55rkZn0rDNiqIcFaxSSHacRSzaD0B756ghDLfZGPIL2uyOmvEVQBs9HJoXeBbjs
mU1OPFA344KdSjbY7ax85OWl8pezKmokNfg96ZDw5sDPaX1t3Yu74gPU6YSJNcb/NXLfS6oa0Hzg
y1blZmJ5WEaO7Cl8TK+3cvl/7J3JduRWtmR/pX4AuQBctFN3wHs2ztbJCRbJYKDve3z925dSSCGl
lPWyalLrZU0krVAEGSTdL861Y7ZN2PuhwxOuZrvUxrubeza+iYyjsdOt/WQc0sW4XpTspA4xTI3p
PlRS3sa8B+dx61i437Rh3c23Q0PEDCB3V5a+lo1ro1NYdo2M9QEIWudc0HdfVNmmWgxsMjnJdPg4
bbdhjPNwO2476z6soU40Nml+9aTX+m7m3MwiTIMdwJvEIYQSrgab3TQuZQw1hwlEWIXHXeZUU8FB
C9zHwFTkasEbMRDfSstNjekow3wUTDjrs2HrqvBH0vFKUV8g3G9sLEsL1iUVC1NcZCeTJ0aKtWm2
dc9Gc3AKxbewPjlYoBSXSQdHFMaowHRWLkYpG8PUhHFK1+JVkE3bCoNbNr62EyF0R8DRVL9h2Qvq
e9LPMXfg2Ovmbh9E6d4o3fOcsJ1WDeMtG4Pvc8ZgP7oWCZBx06twYWo7ooFCO8ZVxkyobmIn9iAx
Qe6+wkBXMhOHXUMOXGem/1xcydcnX7sXSgbZhGxV/OyozVbXAQ23J2O4TBm87eXFTTMyxCFw22Ht
2B9qmPjlcl/ZDd/bLxWEZXjmpRFUOTyGFfY68PBrt3kwWGg3tzwgWKWyDSlCKHnH1HxRsJ/r4qCg
3/Shta7b/iGwWVooCwAFe+MUCTmvj77Sdrl1ZbJwtR0AaJP7lIvozJbKdzAY+Wov9nFveXmjXyK1
mLcFVuTJ7WWBwYiJTv0GLzhgtV2QlzT0u0DPH3rrQeFZFQTYIOz+ShUz9x1Mk/oEU6kAkeLu/5Mm
RpPx7O8nxt9b7P5iUpR/9LdJUdp1VNey0CRw0/w8KLo2E5+NIIRqK0v7flIdXAOdF3kBq7Elh7vf
RQe8lQxrkpjLP1lZ/juig/kXcyKfgwu6KfhQktL7xzmxwhcwtU7xUOAkaTjolM68NktQPlrjiUQ5
GkN2nXGV1MBXmFA/JnpaxGTcqf1jxUGwZMmaexJMUoL01XfF0HcmrhCFE7/R9NvALq8XTKAOHv1c
rz+FE+N6QBGoSux/qtL70+Ssgz666/vhqi8CIjqWHy/IpA2RJsd8aCsOtHbadBxYQXLmQUMGKPWI
le/stLoMefugJ5ovqvbR7MgAcAglLoENpVtDU1j3Wn6c2aQ5Q35pm+ZiNKEfOuXnmOrtula0reU0
2BEAH9rODfr+OhQAnOxvNuveNnxN2Nd1M+U3nXjuDQOmBkln+5Kp9x0ythpjc21f0uYU54Rbwrsx
f1CdgDnrk4yNB9Fgay17gcvU1lYJuzoXUfSz5WpnVeG+S4AxOTdt+WRE1sbOXnXrQj6paolF68Nu
6S8JJqqEs7u8VqJHDU91HHdXbvHoqsoGnZSEY4TbfIWVFmmUIDuM4aTheVZ8HzLhsanccoJbeKza
i9MSvDFvYzbUVB2FFD9o1Oks09qaO4Tbb0zMnnAfhkrf2NOzChVA2cV5z3PgoA0MUeu48Gq3WhOj
W/f4zAt1jW+ySYxNjLItDh1tFCCNY+3GTHF7eYQY9fzb4u4HPVnF3aZkWQypTJq5as5nbNrpzIJW
eSTB2DUHEeyXGKZX09Ye5p+VAiG9PcfJfJcJslT58uomr9mg0dy0aMfQym/AL3NkW5/h+OLE47qr
85eFn3snZMYMxAetGGu1Zp8lijduKdvAoPomuS00Pwo8zEuDCaPF4HFw5dhgNfDFG+T0yXccNKPx
Qw0FLKiyY7d8lOH3iPG85vcX08oZ9rWT3fAMPZh6SZgJwMJS7/qI51VNlN6Si3Ij4xF3yYx6H3XE
92P8vtqr213sdm9XFxEgBxzLYTzTTRFqrwL0Gk0X27ScCYheZqAYfTFctfEteYadEWQ+5BmeLOe6
+mb13XMgjsSM+RzDxByTltexcYitjV70mwqoXTlaJ35aCmsGR90N+u2gWMfKBRJrnCNGHY0Ngxjq
lR2R2xQPqQuVbTnzwCzU+6J+Wdik12w+zK8rHK+qILrmFRv0EwUrTH3abZO/pvMjlvvTgosgSgjR
6Kztz9y2pMUJZIn17AKsxv7TIom4k1eT3yTaCKHvUoeXsm73OkdABXv1usfi5jiJV3dI98m+KUSE
iMdYkD2SyvGyioWJ4vo1LoX05HQnLdTXMbuXIN519A8VhCBAjPXZc4ojKgzuO7JtRs84DZ9lUhWv
WSDZL7AW1OBUR/FmULIdGxhcFctmNDfBY1t95kz3td4c40k9FelFWRLGSDyzmMFiEpdur5yarNkp
UGIbzL8UJexs9jVlXlZcCfWVnqW+cDt/IdMcTQejys75lN72cf82tuRXQWkfuhzEwBc4xZgcj1qu
Fj5irj72qkv6Y3L3uhVe6U70hgx4dvvuW+iG77HlFOt4Lr0CIgsvCvuGbcM51VIIddSRKYpxrJd4
L2x3H2t1vq744a3LfvxIFwfykZpcxKS8Bk4jBxNmL9sOD7HUX7Mguu3swisLpNWwYMkyubtFarZl
QCoUERdyz1Wevei1uPSLOXhWIy7u1D/biL/VmJKZ5DtjIAvHUh82EIprBONy4qC3lB5P5ZLcKWTi
CMGYD5Bv2S7rXCgQngsE6FQq0YnUpBupThdSpnaKY0yXjKMHgPO6ajVLRTuJ89p38gtbk31WPxWC
D9LqiNAceMYqVz+BM97jzjxlRXc79S7Zx+JWc2DglZWxdjL3taaubM2v8EsRV9uhuu+RdvOx3Rpo
mFmGSNFyq6eeyiBtoMTuOoQIaejBVrjazbQEV3q9S9SD0XMvZpjrC2OjFPuS918hJ9zwYJtUPpia
X2bm2pi/Bekm5C3ejKAWq+SmDxm4clyVDNbARYIUZHv+3thiG1NO5c79KsF+qaTNenCajSA0DZTq
OpwLv4eju+ibOjkwXecFHjaGQxqLdH9hFGcr8aTa+zA/0xjnk+zfVK2xawZxH5DU+Z85xzF0/TmT
5nAn/Vdj3L3sG/zf0yp+m+cgwiLPyZHOUGkTNA1ms9+Uv78F0mn/+FfKH5Lf/3HTIVjxf1L+TPZS
GngWonIaNqU/TnTlj6ZDMsebYjYeg6R/E8Z8a0dlCMewgDkUOacpmO9ViLceNGMO/GpsnvDzvvUE
CtKm4MEfKVdJ3L0tywj8FFt1TxHAqlpA+6sReNUSG5JQIPlTlUi+x/VJEL0aDdnXJq25H3a/9iYq
3XxdF6AfIeZSCddRU5UGKhNAjh+u4sKPT2n4pra64yumPq4Tt75Nat7gEechfrnRV55jNy42Sw6p
gZzng5Lmn3rDmreCszSp5Ho6UHti5hHtPrTFt6XOi3Vb5t+ltdwdjeLrjUHCAky5kxlwYMc3OdWO
hHvniUNQ5G3vyym1UAscXrKo0a6CAMtq22zkGEriH9DqPPtTw4QqR067wjyQLSrQJQZMS3Y5GkXF
42jSQl/IJFqiVgLAk8AhzcxYOhNHSXuTJLZv5EPOgcSUkSXGa5K1j7XmLOtijiEczRqdfdrwoITN
Y7/wSNNzDpo5bBmRYlZDsNMyatHYIMu5KNXAvsuJCHFr9FihKc9JWF+LpHjERSeoEaM5cqAdwhtK
LnuBywnTpGGwdvti2za0wVhVBmxP0Qyi3mI/qAFYLOBT3gh9YK2o5Q5qE7NGpEJArStkPQbJVYib
H+8jMwJFVVE1qnT2hPygagWjHsy7pekXYEBDyaiedydzhsdWCTF62PorL89NbfVVVhnaETVYorob
Gh5XmczkipZ0btPgSkgtvnpWSsHJIsSbhyxdXGK9ZJYiX8wkfZegIukbMKjZxIAtbfmwiQVXMx1o
aN+ONC9/xiHZ4RE1DXY3TYdGdUfpznPW6MwiBI5Tkw4xcOTk/ucRoqwaEsEjoFzKpHKcVMfgK7sc
6bJxQy38rqlv8tHEyNiQ2WFJucqhGnVYLd2IpqLQLlZ53h/tdviGuEj9zEJthsFyUT3YbsYV3eZh
2h01MbwMhIDMeri1eeav+7jd5Kiam0ZxdlZYv2ld8MLwd0hLiwhlwVcslEscJceIGE/Qlh8inbct
QJ3VYrRn9KFzabd+Lv9GPMkPE9d/UB2pM3KXwnPIl/KeWsopLLNsbS3tY67P73qUgSCr0cIr/QyO
6oMXxQjVFhzfGLIoTZwavHyAX2S8F/a0D139lDP3w2cmeG5XntKRv6ymV/Ya97kIlV3upIXXWDAu
xuWST/UL5I1oAykeCcP5jPOqpZ3OvC5BsvYAdUgvjo8BzFYWbPezEtHO1hHwMzE3kfJrHmbJgLUb
3qFxqTNwCHfZkBHZjxY9c21cfs/zQOXy0kLHGyhzstvlZQgQshzQL15hsW2zMPoTWMN7+SVy13q6
+xK4w0xzNqLmffRD2WZ4B9b+J1WbgaFdpTM69G9ydj60BQsLZGxqTrCkWA23Q8TrwB6iddyCGUgd
XlhRGqzLso22Upu2UiplpDBduoV6M8WG6f0mQkPicdd9YvAbElRYXRDbVaR0HljfpMKcDCEQZmTl
QUf/FzMfqezn+1Q41HoWAxL/L9JxhXbrV63FWW5CN2Nkg8jfUsqKpYXvHQpwwCJ3FdWKyZolVbaA
H8Mvobe32cNLhdeIImYjjEA1Q/APVVcfeUNKTbfuSNCHpdlAudGR9PLpOa200TcUNuI/hNpsYLvb
h7RLLcuyG1P+gu7cltu+SbV1r09vv2qquSrlWcn3lUJqV5i0VwjICl3JzfCHUsqW2pcyKUyND0WF
sih10ZZXUz6xQZEiKEwPvumRJjO2d72dHtu+eZHyZkK34Tq1x73UM+FDb37WMkUX7EKLe4dUL7ss
eI6m/sbN2kMJ1xLs5Gs2jsGabt5DlTIxall1yuxg3tPAd6vQFeiGrFWaIrlKxunJcUpsEsFrh2a/
0k3U2oIQa2L3HPzt2K0Wsq56296MzaJzCE7wPAjH9oRkrcy+HQjNZkG7FvmIB07bQqJfW+RrgVAT
EZwPEn4d4HhK7Yl7DskjL8OQvvoL0CLOl/epJhg1zTddTEOCUnXXEqJID/GunkN1VwuMarp++wOK
iOGa1UtxXQ3ZlWQgZtMAgxUAPNSjD7KKH1luvEPyPtdN8iSZhlmgYJ/j2VaF6PWSWKjzQpW4wkTr
Xrqh2YOCeJWMQhhM95JOGLf4zo0heZoneTsx+xvJHpwNDXdyVuw6o39veyXcwSsySICxb1zM7C1c
eFv3wh3vYK/dmGVWQv2TUodQ49UPml8D9Gf3BfIjnMg36wfEL6SqTkKeu51E9pV6IjUYuVEoWd6r
hX4tuXyBKE0OKuW6drOek0LaSrraWOu/QvgqXuZ7Sd0LuyTwvoh7RrBUnp3hJpeYvaUoyl06aAZn
zQ+0XpfE1lOugwiNoGE8Dr3T7exyardFG7wMSWjhQ4k+bI4ONk7puJZAPLhNElr3CwzPNrhcmiH+
w6lRBk6m4JWCZZSwKdtSTcHDziT4rHd9u07mYVgl+vzUJVGwKTRN7GczvoN8vhManRCQOnlPh5gz
xnw+8VrnjjUZR20ZHvXBqfykUUi4pWTpUANGb57GD4fgNZ1xOWDNmWrlrjNImkZXrj1zL/5RLjmZ
0XugGi+dbZw0oukQ4a3i9FU0acfZXTyoWOy41SmGXa17sz7GmknIH3fnKh/Es4FR4j/KlGAyvP+9
xPyjmf6fLjU4q/iDvwnMUIiwGxg68jJe3t+L12T1uoaTDI8RtgIhqyd/UphtTccpTOsjCVRDXmN+
l5htg9+NiZnKNoOLy7/lCAaJ8U8XEhv9mz4MgUONR+ifJObaCHtcVA2mnrdm6I7QztYuT161vbSX
IVlbn+PbBDHeKe5a6m1cFJ2ONqIWsGdwU7GT0/N7i6VRKhTUp2PE0nDu9w2r/8k+15BIR8XcdOpT
Fd+10TFwEKAmFWYYa0zw91m9itjcW2hJoKdXvYmxrEg+Kvu7WafHob6UitgnLgQG5RzY6EXswA3K
kaILgIeVm+LcsrOnUpq4zsFnpXw39NJXi/QM4ItHA3i4ABtxWPpS3VWT9tpxJj8p7avSlADfdhvI
5Y+kCi+P4dIeRjwYVhDCsWyvM52+X0tZ140XgflVpvoQGWcewG57jLsn2LQzkOJe2U8lVx/1ZJk2
tj36ydj5lnbEgpxNs1nhQ8X/aijroVJu2Sr4OtnCog0RYhiKDO09Y2PdUlGgQWY2pImDJTfrtzUS
nhcR0w/AKbfOp8kXNp5zKKhFczMPL/LDzwAeSsOfR3acDDBR9KHQU540MKyUp+hhUoleImTxgMhe
zRDwNOM/95tVjtfCUJA78vZoFE9NSNg2WTWQFSAuIVq1uzCGf5EofklbyTIXFASBx6DvAZFkTXfd
ZgmG2znst5kNzDhTT9p0bJT8LDId48J1gCGyDIJrrCPw/E5zzOwgEq8oTd/J9F3c56cqu83hj5ZK
s58ZWBjucYLx4AkfixzDb9Fv0y7cR+NLOWcEQT90vMZqem4xAMaND0B2S6+5H4aFL62WPa8zZooE
rWdio5aaF6PQ1ppbbhZbgQ43PsdFd6q7CWbcdaGQOFXtdcEp3TRnBpl11C67TAEjlHqLNa5TpVrV
Y7OlH4oWIuscBE9BsmoBdQkV7gXKpq0deVO4+lbNXB/7o+fgKwi06iqOyA8PoW+Oza5MZ14Y7RUU
XJ1X+oDZTqkfa7AtxVjfx4JHZNT4ivVs1OoV9Eb2wxbePYx3rvATTIhuPLC3uU/VB9MJd45hAFIo
N63zougdRaf2qc/1+4V7hkUzk9UqCO3QUOkz6mn2ngNtp1d0mA4Wz/N8r5C8VpTBb1se5F16u2hi
16b17cx2ZJzeEtZIrFx8nfu5iC95TdR12YTMzsO7QR8IueCtSkPNqGXslZ65PHhq3vLgOosGaAmW
FFx53uAMXhdTc4q7ME7cQ+/cpdpjlj/V8x1633pc3vkxb+LahqrAIhywTqpfKx1W7yDbZEm4VsVw
oZ3V0d6c8TqgQc1mSnKLtTuJba3lW9vtT3JdXGrmZ4QgBwxE37a4ambhKyww4G9406fTPLczHB96
XUJfxzFFRQ6oyI0mPF0k9w1NaouAOKa1BLtZ1oQunNnRSFnXc5DFXblDFX1YUufYOkG9ymIaWWYH
Iww4NGJ3StHjMmELkAfPScFW2yqOxD4eZsFRokWAjvFxiPKylPN+aOqratQpf+uughCj6iJqtt1K
JGtyVobZM1bFd+6iQ3SxXkPLwJxldaanODpTkvZkphU2Kso0Blc525Lcn2XbNp8eoyV/cGuoOwT7
9mzptxPBITUW0CoNz9TnfRfr9P9ElwSgn5vED8ySIE9mygV0GRzetDB+u4aIdIzinkL/TWsFe0a4
HZz8fuLd2UEJVgpuWS1mjEGHTQJHOIInPAXU9cAXRltZt3NxV8AdbqPiBgw1myyIxLZEE3OvfOBW
PeIT5pajwS/O4Bj3KohwuMa6BBwvAyzsRMFKBH3GooR8bQE3XKU0ySkVuyAq2++4fqUrrhlc89OZ
CF6a5r47RmeTaxSTIeX0bn1ttjO3POt+bqr7PKgfh0E8Rk6CrytOnpymPzZt9sAnsvBScVmx8xIW
Rx7jPFZunZLEYFyMKlmEzTgud+6oQMlfymedciCe7vqqrE3G0Xovb428Goyd1ip3YbEsqzCajoPm
EB2oG7Zbae9xo+EzQqmXhPjEIgRt17eLpe4Nxbl2rGRXZwW+WfuE02Ydde2xd8KbIlo+0M5O4TBm
6w6uYZKa7JNGnEnmeSwE9sCrmTB0MpNLDO0KBb4c0RPw1cU119mwbE7UQVByDvhIhX/AzzksJgou
3FduBhgupPtl0K/6huO2SK1velhfFOE89Xr3adVg9kE+dGO/oXZ4M6favl4WTh7DS9Lkwe7mU9e8
lBHfl3TWaNPLI68tHaqM6JiKihnoOKcq3mpf5+qQI80xEn/OIczTZszplBGFz9h5VRmQYIFgqYWU
LSB4L9ohrCpcUHOT+Dp/eXeqPEtkL4Ojv9AjcVOqKj1JVXodp+I+XRTHV78R3UhmNqTJfGnU2l2V
kyU20QCEolgA7NWywT4mfeDrNuvM1sJLL1o6W0fZZd/RQLXG9977yuTwYWdpQ6d8DyFKuloqfrl5
TSINy1k0P8Jt2gVuBAo9fQtLmpr5qq+ozu54VBk3lR2cbDO9igvxXRbft/2TxTSwTJC6TMVPM9bi
9eLFY0CgtzY3fcWjebIzuO34nYMa2p/FaZoTPypOehO+GzONU2m4buv8KmjtbZhy4X5qKfLWSLxm
PI2L4rsbGntKgw42Sd8h4b0RNp6Sn/JynxQBqgofYuHGmkPNN+19PzYfLP4OMfPGgpqc1Hf2cBYl
VOGXsSROGNPpsUXdMLWjmz116XVZH+YUgHgrGFDSh2EJrkte+11k7yyjJXD0KErjnbelD2mAFqTh
O5LdLgPAGDbGg4txabAfKzU4KLPYdnVBI8SCEmqmXg+0HKI3d++dUL6FrSt9XfADiTqb1kbByGPr
38wShHHM7ts32qM9XJX1doKYpZWrzgSkg7nJpSXFMR91AIWrhHJxJddYSn/DVb8L5n5jIu4Ok3mV
Zd0bwsh9VY5nABskAqK9jUSw9OUpxfsfH915+kSmx99UKZv2EIudE6jgVtW9O17qhQIB+Lrj8mI6
EdGobxbHDyCDbUKzbwjyfhLycLrjDH8aJuspcSKGJ2NbZe4lal/p7sYxOa/c8q1GBYuqt8Cm6sHm
eTIb1o3qQP6vH0N4RL1mvGSGuvsP2gtp5G/+/u71/PnfgJjLD/HbLQwYoIYjx9ZcnZJYLjm/roV+
uYVxN9N1iD3aT5cw7R/Smv3XlbH6P/5vLmGmyi3wT37wX+qvXV1GQYED/XEr9PMlzFLly99qeWFk
5w6QgLxAZU6+ixycOa6m9awaywd34m3w6/2nCcMra4zfRyv+kJecqmCboldk4WutfJF3Ga1TDmQh
Yl9eUKDKPFW1quKkcbHmZCd5E2mpx6QftPLLTuwDvQZjKuJH3TJz32hmr4WYI28MU2/da/n8OizD
hBeEUVPTugvTP7O1tk/SdEfAolsppRtCvDX5fHje5Ai/VOmOwd22FJziC/UQWv1pzCqr6yh7iLDK
2lHx2DRYcdwpOwDnPuup9TYwoqzaabllhI6FzWTG0Exks+aBnN7IMTlaai+q6q0ckBfbueudevtj
MhZmTFwzE8PKTsWZ4330KFG4asvmgfvGZiDKIifavCxeoyZHcRycD3ZBL3I6bTVmYDc+fo2jeneQ
Y2jPygkhOHoZ8bNCQozfO7Mdt6hwVN1oZnqsTBZPNdabr6ERRVLnMdAq/o/xcJj0hx9jYWnMFvRg
5sFEZLP/8yxIa6TYRzxtNnL+S6WaJKSu5EqFaZFak5z2ZpPRYkaG6sgpAYJAmRoG/JG/TXU58pWc
6GqpZ4k5o5QCiWuUWlfj2C+iM9otOVt6W6QiFji1ueqlSjbwqXF1cSt2CDH4g92XO2eZ74olc7Zl
YlZeJFsujLAKCH3Ft1kfweihHUNvZmpdUeogEePpyBrs88h4eYkpeMzbqzKZqZ+SWp+N6FdJ9Y9S
9idN6oGhVTLj24gAktmpY2jbfPE6a6kk/kB1UvOFiVaqjYbUHccxvunnarobC168M+JkmWHfYB+K
hVIqly0SJil4xFWc+hJ+WSJyWoLkmkD25NKHmRMhVG2Kewm1JBP12iOUFinXTkiWeYbPHoxlN7DN
k2tDM8izrYRUVlJ07abzZFnvGZU57Es+XCOEPotMK5mTGWwsDflWcevjD8Rkqhu3sZH7dVuqOxXh
VyIjA4TgXirC7NFuZiTibgo/qn/GQaZSWdYKkdP1w77zB/yxQIb+M/YxCbnQ/gXzkWB4uB6k0v0H
zGMq1XDJdhRSH6+aIcYAF7yqVXFMkdAFuMZJa/S15DRmiOwsbRbqeKqTxtt3JTGMZqMFoEDs1wqJ
PkCqd7vxpkW6l0zFSGr5OqL+zxTFks2TJCgmLAGUaOnWkvjZuujUrAnCOL9j/roe6j6C7WFuAwj7
K3xkm4AVwxKHw6pn6WAv7TZhCeFi226wb1fx4qwrwZ4iGrgvJqwudLnD6A00kT64H1rDD0r1bZDb
jkDuPcYZy5SQu5COpUjVyRpI/OzYo48l5cN0UdqjH8zLcyp3KpHcrjRyzzKk442Qm5cxTT/xpBxq
NadCjE4oVpv3EcsaBkrSk/j0qxCEZy03Om6S0Igttzz2XB4KufdJdPbCqtwFWQLto5b7oc6ua78Z
hg+nqj042hisWN+Xi3rPaQkonIA2jFIQJilmwTRmIccqapE7KUqbd63cUg3MJOBUsfTbMkiRk6gY
htq3856UdQIdOc7lHb+xbByT7BS79oHkBBYnCpL7Crtx0S+4sLvRa5qC4Swtz7keZ3vqbyk1oOKC
NdhqdPVu+3f915U+e4DYxeN/r+m6rZiTaY0ydlP4x4JrildF4I+pbTxHhuvejkXaXScTC46FDbpn
pSk2vQXXghGzWIZbzHc7mifj2h6X3tc7E3UuMpb7PE+SehtbJueSM3GZaTssJIiWKiaxuO+Tm2ya
aVE3loSNg66gIdiBQY2IFpt8sbUT1nt27slNOFf0WZQLyVfPNGkta6hK2lddF4mNmtuE5126NggH
op1R+xHv7RpPVBdlpt8NKPIN+8oNvNlmnwdk4icRRZuv24tKs9jN18WlhAkECHKMNl/XFaVw3CtK
GUpC6I7t4y5HteydcteO6QhbgX+EidGDtHVUdJ1i2mlQEAD1z50vbxRaxZ0gQHaDqYXOryWY2lmG
bHLTeVBcPI4wtVWvjAR31dphl8rM3tTasnMS1l1mWb6xRWdCJymvZPrN18w9EFcy597aqBb2K1VP
Fv9rio6X1l0baXJKrVLdimQwHzOwECc56mbpEPv/QQMu+Md/MeAe4/Ati/8XAZ/5r21T/OlfZlss
T8xpf8cckdMk0Xe2CQZ+od83DFie+F9wRf6COQLfiw+IjQpzuyzP/LcqOLET/GG2db64K7pmEavk
8Wzakm7yc3B+Gui5yazgPu2b1wGdQRA1b4mEsAO4y2gFIcC4sigZngJpBifbnUESJBjcNmKPNDew
McjyjTGp8Z0Z5UTNZqoeKuqR/z+n5P81TkkcpbNX5ONVz/GzjmTfudNTqCCUaBPzPOAgHTdYh7Yz
Fsy+ZPepvBMbXAmF3UqGNGFUJzxw2O0NAuYk8SsLG21IRBbkdaStW6NZV4bj2fExAcXem28Z+xDZ
vJFmN70YmYnR4ZzaN5z8wehMcnQwqBXOMixLtvim9rcjSAFbQ/esUs8hFh/aDAOdflsnLFmx2rgo
QZrWrPEWXvIu4wwGRZ5NLLPNUxjdZYB3C3SiMEx2orxvKvFQj+ohib/PkTwgsdkM121NVBEGdF9i
u+dv1YalZwBlSa3BN9mj4PBp42sKRqg5F76oVc+y402fhDey0dOMP1t2TezHg2RcAy7wQr6rDOvX
SdJ4ZvVk4C4yAEFYpCD4LX6M68jCozGmJrJyv+6q+DTjSiowxFPSxoUv/kzNeaNOcHGIeaXRdqBF
KknFlc2aJ3PuiY1sRiP/HAt7g4NrTfPsw4DrqZ+UjyUbkHyRrUhaWsqLYry3JmSEeF/orZ/aWxMY
dDXrW1rpLgJhc9AqOqJzHjlUMarvuZi20ESFEIeFJjx9tq8yjTAk8rCTsMRAQgnZP6sZSB+cWjSK
UA5SAxN6TULhx+x3MrBCjeh3+cxPrI9u5vGJFo8btWXHVDTbniVEB6u/0L+DE9qobbCx2DctYc3d
r6N7MM+vFVTZemm8fBSHTH2vytd0CTC7h/syuqSpeQxqVoLLTcqNNRN0gjrLtatFR9FEhGuzk2KS
gGyNZydV7+bB8dMi2DtOf9OCfsD+6E1Uc1RxsLYsUB/FS9EHoBUyj6aNldY3PhTDfYA9XeJNqcpi
tV+BNC82RRL5atzuozygFtJZSwL8AD48jrpTFJqP4WCsxWisnFZh+jgZYtqndIqa7sE0W0Cjmyxv
n/PBkLczr7UvE/EKvRnXqlVvWHBSG1PtQ8pH7JCsSUDjJWTXjklrmDZujNAXrRfzOQ16BiyDLHSw
w04EWXc8FNUEEF/np1BvHPtCcenDwg+NH96mQmqr7PIGBsJhgNHaWaesw+uMT6EsZkT+npc6LzBe
3Iqd7ZNwN1TutUODSuS+hQo7Gryb7JhYbdya1XnMGz8JYqIPnBJpcMTLxJXMXjX5cM64IONf32ak
36aw8royZK2Re3mPsIHjXE9JvZe3rAT9vpnPEfbAcDQ8YCnwh0ipAGLsy2NHCkIh5auUV44W3+G6
4mX9KYJ6k4ApSUZwQIKm4o7FDnCjJsLO08/4MClCCrIdhTObPCRFRYYiISOZTNNdjjV1meZNVTDQ
O3hWmOvAC7GEYsNm9js7AKdMa00T7Y1C9Ttowm3Toce2Nz3BfIvsC6xdeILsFBWr5m6fYC9y3v/n
D0e/DAuYozWmahDa/OtfDUnXZfP37vC//Fg/j0wuiTrdQFIwHeS231ziBuocNCHwDyqMb4wXP0wZ
2j+EKhEQAIBUW6UlDNf5D1MGmDaNtKq0nWPXUI1/D9MGvPsPMxOZPxznYNoIF5oqTCQTTtLPM1OO
AlQl6XhP+USzieVzlKJcAlwwx7xQK028wOz7K4MCiyZVcZ/NhcObKAZL1cfdo0bTcy7ArSVpTawM
jNi2sZpT3uflIYZkz1tM7vJlaaEhN/qu2QDzGbneLVXzvsBLqyzAaVostK0p+WoToDUKyBZEeYX/
AslmaJniFw55vP+i7ty607aCKPxf+i5X1yOpq82DDdhOGl8aOyvNixZ1iJBAAt0A8ev7jcAOAoeF
464VqjcjGekMR3POzOzZ2xXetqkPNNYHOZ4NFX3BuZadh0vkpPwACsNIJKbCCrEpJbJTiQhQBSZS
VBY1VYqDyFMZIlQ1BiYJOT61/anIWE3Rs6I4PeNtsZG4ErErW2SvfG9+y+2vExHEmuVIY0WNSlYZ
w1tUF/E1jFD0GcG6SqN5MdT+MkViq6w06z6BVq27EAEuFQbX+cQZd4JGnEuJTJdRflYqfT9RRXm2
sEtoomVrEdTOrRZq7wuR+5omCH+FORJgoa5d6lp6D2vpZ8dJPtaJda4FdDkX9JWe5mpCQxpIBldk
xWJSoXCp2fiaRA1xwNGHSnnV+XyxsIClzJ0ujWIhxkfvJCi85WmhDZOzeIjGgF+5MwQ9zLRnAwaw
MtqTAXIsLfvCXgReTx+TRfGMOvvHAODcq4b0QacgH6/gZDUI/aGmVOi6V0OQaralIQ7ozN459Sg6
G+HoT5dqyrBptlzoeT+1l/fBxzzvhNa75WzWU18zv0vOJC/hVIp7fs9+G74d10F15RUxidJ5R1OQ
EY2iDJEot+hMA+chVsmNH0+jjjujr71IoKtMlhUNY0V0b6vF3SgtLuLczk4nkOoGiU0P2XxWn7mp
ute0YnqmazPrLEd8qlPrPqxLJfCKxcJl0wXFwpWZpqP3ujdJaWoIsm7iWCKyUKDKYA9v0jwfX4SI
2XZVML/woOu6jfPU+GSAsyS/Zc7/jCyShkUO7+8oyLueBdSl1tGtUV9NM/R7/kjAQiZMDNkM2ATU
UGlskwwrkVKOkKvC7/uoWY8fUBRyKeeg5eFWl1GO5BdgbwqjesXaaASfigiJGYWo4ylixepdZrrn
SZXV7NaUVzpdaxhPUCd3rS7ZB5qCJPuhE/S4hf4xNw0Y2iHggmnWvEag687I/V5SE1Iv/HNPcioT
ya6URnHBNiGCw3CKIL3tNnYezCQrQ1UN5gVEP2UrNpbMDT0Dt6mLLJktWZ2E9E4peR6ICPXLLJ1f
DtPsTvjNTckJDSU7BGyz6CjJGLlwlY9pbAMiBDw6w+04ApgWUvJUINSwZcEL6dErX3vZZ1+A1jWc
4/S3JHS8A2JpmMbHAsx+YhiPBbRdJkVBNa1NLQ4StTp/pBVHzw/F+RFg8IZPfAo+vOESH8W5RQck
4HHXjaB4EEB5JdByBcYcqLuShv8FjIFD47QlgJAISL3W2BppFXty2AkTQFX5nbEM2XIIvH0hQPfS
Dj74IN/zpLovSe0iT2hdmaF7NRSQvBargUkyMmvg82H5twOevgBXD0lg2jmeRfzXh8Vv4WDS6Zf9
btOXdVsNSNAPCkg3ize/fzt7MwEcdSc6iWQjXnrR/i9ad4Td1dPBH7/0vyR0vkYFRa2HEsqm54CV
291izbM1z7T3q8Z9nr36wk0084Sing3XOYs+RI8sAs3n6H1AL66Q+uBzCo8b1vne+PcPbWXI/dfs
feZnhi/ax62i6I8MH4pZU5EQYicjB+mathksUkY+SFCQqRyrMuxRWsPeLhG/3BrS+edTxPSZbm0r
gL2FIhdbHb0V2Du+ck4YJzZwYhdDrEYrP3rbGoqufMfVrZ9rjYdJlZbiosJokm76B1OHaPkQI2x9
w4ZbYAePV1D0pbTGLg2lyrYt5Pl+7tgPcY7bGeUfeR/4naHFk7bU9gxAuYiyjkeI0xzH6yMdXuVD
psK2QVtzQdkuKH5/xwoEDohUribbcfrE/2KFsKFJBwujr3/rnRUCLIL7v1ghhMT39XOBgB/Y0Ho9
3PWNUAv7zBXJDMhxvG+GvU3S/HL/YJ4YwC+gQ1qvi1vWEG/pwbqJVsvxmkFIp185KcwTB1ImJc7g
aVVou0sYZ4UpGiKC5jg6a6yyY/vkEF4+OVhCga7prlQAN6zBpMBONpXElWc+Sr8p0cArJ4UMX2Y+
rmJ9tMxAgOGabC8c+u2a44h31juNby+fDLwijuwp4VVbHe1JgTUoMrPd8h5XmcNfkQMm0FP8ejaM
xl+ayJWq2XOx6/cueAzcds9vxKWy72xdKIHs6t6r6E3+ftPaaTSB5cbJx0Czuc/639cD3L11616P
o3r88CIa5H2g3HVzol4/5lU/Ieo9HC/bBPnPxOMbr8e+G304nLDllXc6CCHxynt0+wfAjHUCsG8/
6FYa40Cz/UAlY+/QnptBTzmN3Xn1mKt47t/aL41c8TAe9PM3/wIAAP//</cx:binary>
              </cx:geoCache>
            </cx:geography>
          </cx:layoutPr>
        </cx:series>
      </cx:plotAreaRegion>
    </cx:plotArea>
    <cx:legend pos="l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" lastClr="FFFFFF">
                <a:lumMod val="9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  <cx:nf>_xlchart.v5.14</cx:nf>
      </cx:numDim>
    </cx:data>
  </cx:chartData>
  <cx:chart>
    <cx:title pos="t" align="ctr" overlay="0">
      <cx:tx>
        <cx:txData>
          <cx:v>5 Year Average Yield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" lastClr="FFFFFF">
                  <a:lumMod val="95000"/>
                </a:sysClr>
              </a:solidFill>
              <a:latin typeface="Aptos Narrow" panose="02110004020202020204"/>
            </a:rPr>
            <a:t>5 Year Average Yield</a:t>
          </a:r>
        </a:p>
      </cx:txPr>
    </cx:title>
    <cx:plotArea>
      <cx:plotAreaRegion>
        <cx:series layoutId="regionMap" uniqueId="{A47F8B4C-AFA7-4F0A-9237-3CE6F849E9A9}">
          <cx:tx>
            <cx:txData>
              <cx:f>_xlchart.v5.14</cx:f>
              <cx:v>Averegae</cx:v>
            </cx:txData>
          </cx:tx>
          <cx:dataLabels>
            <cx:visibility seriesName="0" categoryName="1" value="1"/>
            <cx:separator>, </cx:separator>
          </cx:dataLabels>
          <cx:dataId val="0"/>
          <cx:layoutPr>
            <cx:geography viewedRegionType="countryRegion" cultureLanguage="en-US" cultureRegion="AE" attribution="Powered by Bing">
              <cx:geoCache provider="{E9337A44-BEBE-4D9F-B70C-5C5E7DAFC167}">
                <cx:binary>5HxZk5240u1fcfj54taEkE6cPg8C9ljzaPuFqCqXhZhBiOnXf7k9tava7nbH7e/2dZyKsF17g5BQ
kitXrkz874fpXw/F4133YiqLyv7rYfr1Zdr3zb9++cU+pI/lnX1VmoeutvX7/tVDXf5Sv39vHh5/
edfdjabSvxCE2S8P6V3XP04v//NvuJp+rI/qh7ve1NW5e+zmi0frit7+wbFvHnpx9640VWRs35mH
nvz68tjZu2p5fPnisepNP1/NzeOvL5+e9PLFL8+v9bt5XxSwtN69g8EefsWk8ANJOPr4g1++KOpK
fzpO5CuOOPcDRL8c/jj5yV0J439kRR/Wc/fuXfdoLdzSh3+/Gvlk/b++PKm7Pn3sqhdnXT2Y6gHu
9skZX2/DQ+2q/rC9Gnb615cX41317u7lC2Pr8OORsD7c5MXth1355all/vPvZ1/APj375ivjPd/U
Pzv04jtr+9pyT07564aTnHFOsf/EYBS9Qpwx6stPBgV7fm2wz3v0/XV821yfxz1Z8/9nW/78Oblw
93eD+3z/f4+3gC8wgQh/sungJZRiQn0h5Mefz5N+9JIfWMh3dv3THTy5s19f3j7a/o9d5POMP5O5
Nm7+W6GNvPIJ8znGwfegLUCCS0H4N432p8v5tsk+DntmsMva/RmofRz3M9nrZL67N+nf7V8s4D6A
13P/8g9m9NlTv/qRFXzbSl9GPjPUn3vWl5E/k6mU04/2sYPY+DXuP7l38lcDEHmFGUUy4Oyb7nUI
REIyn3EIUF9HoM9refGZ2Hw+/E2A/rb5vnGNJzfz68v47s8g8hvX+JlMeuzSu0r/rRbFr6R/sBf+
hIdSPvfCgADf8KX4Dhf8sKL/G7t+uqmvLvHMrD8ApL+/xs9k1gtXmOpd/Yc+8ZcpfkCB3/sSXPwp
tZciCFCAPznwc6b4Ayv5tnd+uYdnxvsBav9l6M9kMwgJ5Z2+u/+b2QsLCKYMo0/eKJ5bzxckkAzL
bzrjj63p2/b7auwzC/6A+301+Gey4f6uO2S9f6ffHQIkZAoBJt+zIJU++a4Ff2RF37bfl5HPrPfn
5ObLyJ/JdOu7/LHK/1bnw68OeUEAgfCb3AbyvUAwCJYy+Gbq8CMr+rbpvox8ZrofgM4vQ38m2+3v
5rpa/pzF/I3CzJOdBTVpb7rH9M+fnv/FFayNhfDxd7NzjkEfovx3mZRglCMh4PuvWfkPreE7z+yX
5T/Z2l9f/kC0+G3an+mpPdF1+Y8+s+u73pr7P2eJ/4sPLcR5fdffdf+o54AqeWBe1T9qjL15cLnp
/mlrdJDjV/ofNcf6zt79wFP5VIf/k/IEUCSKAv8p+wVxAeQgFggBOc0TGPuwgq/yxz/QO76DZs+v
8AzU9kbfFeZFCPWX31cmPm7AV9P/TKh24axZ/mYG7PuH4hL/TJOeWhFoFIKDFIvPOc5TY/7Agr5t
w88Dn5nuz/nv54H/T832fZD+4hoRIG38oeb3Vd3pj49+2BkoRD4b+slbPmptT27z895v3/36kiBQ
Wr8UEg+XeOJln4tBH53ry4BH0Nx+fQm+CVUQxCQ4rcQYU/ryxQgFC7iqeCU4ocA9MBJUCgaTVIdy
34c6JGLwBdBpCiN8+O3lC3tQzeEYeQVnByA7Ec45wj4nX8qsZ3Ux67r6shWfPr+oXHlWm6q3v75k
AVyq+XjeYak+F6BZ+gILH2Go3UoCy2ge7i6glgun4/9TD2ky9zK47PPUt8rIQiikE7ltm7G7IaRn
sZW8OEm5qM+rZRbHI/ane1T1fjhkCY2CtMwj7ag96fphekOmZLycCSJXfk2blRvtvPWLIrtZZnzl
Yb1c41Gn4ZRafZ4UbtmzHvlxOnvToOig5xVv4XOV5f2WOhaEwdAXR9SkYlf2yYBUXxiqV5nXORQ1
xE/iNu2H17loZ6ayNG2CyFSB/9Yv8eQizRbCw4JTe0q6Wuyz1u+4ShJb7rgbZaG6lveBmppmEauS
06AIUSHzTrHRetGsPbNBDDW5kj6tZ+X3rDkvacXTbY+cu7Ecm1K1bGbn5ZgHa1iKPS4T5odtneAz
1sxB2DM8RvXsN1s+Gc9XedXjTrVoMqrKdNQ3eGddXa0Tak4YT9E+YzgqUTOdjcFrSd1ZbzI1Z96k
eNu+b+lbP/XGcz2Ou8GK+y6fj2hl46TcL7XZjUN/HZQo9HPXxeMUKIS6S5Qm77xEDru2G183dVJu
XTOQ046JkAV5qjpqg4hk/J6gSRzZvt3BVp2KlF1Osm1iNrhV2o5zPCepvs8yv4jSRjz4JOvC1A+m
O1T27zi3ediUEr+ZfPvGtHI7Em9XdjpXqU6KixHP2dpvp/pdhfglr7r3bMHXArPLxEebecBx3nUr
m4g8rDz4rSWWRc5QNihm4NJLUnerrBHNZi4TEnceu+BNedWVuD3KyHjn03nWyiSbdphhT52Lxi5f
1kPJKNlTl+Vqqs2VzcZ5VJT4mis8IhInY4fe1yPYi3iK8SDLQy+dUqJ4QSvV5vXa98rIDG7b0j67
GVky76aAh3naqWJ4PRQFd+884y47HUS6etP6vfPDfrBM2XJOVT0LS+K2SUU4eaxLoyTtgkX5fpcI
5XsUV7Dm2e0q6RGnJtqWwxFuM3vnoaA6s4PmsaBOb/2U4Fx1DZ5z1U+VUSaDTonUljeebltFhkb5
admrVruT2fjwKZBnQdZKNc52MzJ7SwiLO1pe0HGOSk0us2VUbTGzqCfNudOFWfmTRcqXud07OtGw
YOYNmrMVJ75Tok5Lhbjc2QLuxzXuqLJpummcOaIuL5XolzksmTjKORHKDmO7YhVapda3J2Xeod1C
cxHmRNcRhe1X9eAhNQUL/MWWQLG8CdYlsactzi1RU5scVWhioS2LI69felVWXRlarxziwKtklJZu
VlmtL8vUiG01T+TKK319jnyZhE0OW0m5mFcyGItUSej9KIy+LU239Yr3/Zzjq0IsbVy23LupOLNb
3MpN2rS3TcXIqig5wBPFm7wMIseFW48T7AfKRj+2WTOFA+/GKLFiUdZLy3DpkW2VFY6HC2UbNiVi
hasRr6llwT1OdLBy6TiEXbOQN/MkL3RebRIPVcpvsk1aTfe6zM/rdGQKmk+iNIuytO4v7TDLcC7z
Qc1IaOWXSbZ2TIfCZg8JbF1ky8BGTeI/pEO+nds8KtL0Rjf2gc0uv88ru8k61qpuJOHUujApmYnY
lIew/6eGuZMK+xeeZ5sQeQMNCXObSaDXqAN3RLLemNypmoANzDhF+ZDUquqKTVUl/kkWFM0Z3E4X
TvViTkqfujjDWbLxmBvjWtCd7mcd82TcBBoHG5aaG8SXqO4JeSMNGcHiQZpc9dWid7bE6ao0RKqJ
m1oNfaKvi6S4zVq27lFKI8rfAPMt1YgFqzYNMTSJAWzZbQrx84zShl43owNUF/oeGwK+y1LYuJmr
os1aVS/BsGZG+2FZDOxhHNoIoEekivS+t21koRWdUm9P0YDcXZH35Z5h19/XEx8nNRHff6iIV7Eo
SNhII2x86iuRozYqlzZYG2yGk9p0uTgmdY2vXR604cQyz1uXyD8pZOZOyqHqUsW7hJ5NHe7Dvutw
BMgtV9qbu+3Y+dk+wIkTqqUaQEPa4qSrxnQ1VrwMvXwswDEtijJPGzUN0lfYN2az5P68ngQLbhut
Y1aWJyzpN5AYrZtyU09DscEkqzZ0KQanBoBAbvWwHepxQwv+3pN1u6cTQpGeCj4oOwm3Mi3zNqIf
s1WN8mQVwL1YOSz7rmzxmfWmUPMRtgDuYZj4TT+NIyzINBeL9ZFK7N2wZGaVDE1w7bk5WU1BaaMe
9X1UaztuMmaTOBEtv9Eor+88WixXWgQmnpKhPKZtnt14Zky3c155a0aN3o1Zne5yIr0Tr+jmc8+I
5o2ZufZUClQEoucskm3OSgIBu+cXfedVR6VB1U2P6+o+xXy5NBNNIsQnG1UsQStRiuQMSnpFxCuU
bC2el4cP5O8TL31CsR7qZu6Mhqj+gV9++fif488dch96qH77/tAO99un0+axuuy7x8f++K55fuZh
vi+nwvU/zX9gn08+/I4If4fqfuy6+87BJzz4SZ7wJaM8kEUP8hOf+ND0E/wRIX7WBve7kR+Z8UE2
5tCPAqIyJRLYMaRDn5ixfMV8+BLyWQ7UmUiY7TdmTOGJBimag+ZMMCJQp/vMjPErYMVQ3ZMCQ9mW
or/GjHEAIuBzZkyQwH5AGXSXkUOb09fMOGeaYfD3C+M1u9LQlV+gN3IUadjR4WrmU8iG+yWv4sTo
USWNXM/aVKqxnlNtpVFEOzSotvFInPfDlazLNINIOU2qLQEnfeaNquur4yWwk9KtacJK2hVkBEeC
0lh3wxgPrXgNDzpXHbNp5BYRxJNPhmOAn2KdtMZcy6RlYTGZZYdEQ1U32cvOTa9Z4t5KL18lvp+p
nIjHJdMAcdyq3uWZok7ySDKrY1smWhWinRTueR8GZVns4AmIrE7uy3QqlFhmT02AtyuJcjVDqHOC
qGrycmUNziI8NlfOT/bLkMS5N53UfIa4jWLdZFU8ou4qT7q4A6IjZRu3Mzqdc/5+WparfuDbwqCH
Rbgod/oho29J4ccZRBrXDktY+kFEcRCmzmyyqQt5D5N5daoO1AxNPNTJsiqSMQKTXI7NGOlUn5Sy
jnCVAifHVqWN3BaB2xKX7HUzhGldrVCyKNzNbwJ5C8Cq0mRUPKl3lqVx2+uwEukx8ypgh8X7Nukj
yBHuE2fWVS/DGvHQlINUEiWvWxKs+7lL27AguNwmXPR+TNMMpi8CGuPUq0JI/pAiNugBnRgkFugh
sOimI3hQxusMxH9yWs38CndyVc7ZUT7JtdcDAUKDoEpiF0GQVbKdhOLLfFvPXqF6bDcm7QF2SQOR
hAUO4pB75FPVh3XAHxd7OokHr4fHLdnL4TZJsxjZFaqkovjYiEuEHig9KrWGDb4a03Y/tfVt7pOr
ruJNWAgb/XU4/HmB7qC0/UHm/6Sl8gnOHQZ+wTkGPQVSBphjAfj5mwIgX2HoOQAgC8gBBSVg2W84
54MaBEqRkMjHkJ7D9X7DuQBydsA5OAIaAODSZ1h/Ep1A7vj0+WsBAAcA6c9gDvIsfhAcqEQSH9rK
voY5v/cbQ427IC4wWUxpe9b1kNYS3oCPdcWJKwjwW0hhEKqVMUPMS12HICXE7Wg85ZpsiyZ3NYwI
K1/wsEvIfaGF0p4LxaAjnL5f2lGVbAkTX69KbCLZXgcFeEEzqUJbNZXmyC4kTDBVpdArgfvzJptO
czrc9d7Qq7p+B606kMmTx1FWKkPDNW399TCf+FW2qkYL/BjyDkjr6sLEevGUcG9RA4mzMXEjcTRR
fYozsZWm3jtwPYeXcBkhFauTflQQ7wQwYLqedLFHrLWqGs/Q6EGuRbYpu5jc3pTvimY5NYt/3hbZ
u6HKrv2Zvk0Kvm6WFEjOO5MX+6GmUQ9ig1emb+bFnfIEnSXjGzS6aEDlSa/rCz9nFUzvjiTtb6Qn
j7lXH5LuJrR0DqvFnoguuxgHmLgtjvHMwqV4BO/eLLMfz5W/QmUmFXcIYknWRSaftzpbVkGG5xCm
87eA70MYYLrsIEoALxzHRkGAyrZjzo9tHqghD04Tv14LDJOLsx5wuu30keclZ2aYT/mycNWLBYSV
9DizHVVj1pcA3z0ED15vEiCQjcdQPPWkjDrh9KWrJvpWMz85AfZ5Pcs6/MDNRSvQGuVDoRDtrmtj
1/C06w9EfSiGCHLxEfZ/PXRpsPoGTR9ns05TzmOmZa6CcXGxgzW2Hj9zDo0hJwkQ5vpSJAONhmpJ
VBVIo4CKu34FDEJf/1chGbj995EM6ldfd68+hbIDB/wgZgJl46BUHlRHikGAZHDkC2WjgvhMEgFt
34IfQOZrKIPyK0JApggMCp5QNoAySMvhrQs4A5oM/hKWQfL1DSxDDMMq4HpMUvQUy5Z87Gtv9i+w
sY+4qC2A0FiFde+dQPIxKa8i26oNbmvWnmJSPjLjWSA+8mJs0zrW/vTGVNk9a8ROO9BbqHc8lu40
N8uxRMWRHusN7orYzkssPXdM6QTglimXJuczTlaWzxco7Y9s2gDja6KEOpWS9Mi2yaYrzXrMMgVJ
5kb692WVxw1gUGGzMO8edHDuD2tbP7BF9anZ8i4Iocc+sm0XFjOJK8xWVW4jO9yL1gCxbMKxqlbJ
SE9Eu1uEUbrGF9NANn0/RZ7PlZe62ExFZJL0Ihg5MD4aYlSskm6MA8h+Z9cfVWW6oslpXffrViSv
+2oEatPd4NIHJ2KnbSPOFh8ITVmuRp7NsPaTJjAXwHJXdJpggb2qkNsF003vrpep3pVVEEJMCEfZ
qrwB2jhh1S5l2FW1mjFS6ZTFY1NsirRRqWe3qctfuz6IpW5O6+K2BY3Pn+QJ0KjY+AtVS29XolVo
xnFgsZqy+qIBjhMcyE7Cu0fQh10km6IPswMlcsCNmgNJ4tV4mxxokwX+lACPwgdCpR1QqwI4ViLS
Iz8Xqxq4V1HBjaaNUfZAywYz32DgaT7wNVBFe0U/ULgDmZs0pjE7EDzvA9eruX2faYJb1R4gcDyA
YSFmFJfSbZqh2ogDYLJyLEHnHahqAE1BM4r9A7yaeTzNtDxrSbK3gL++OIOc5ziZqjUICKfdB5Tm
x+kBtlnTNxDxAMor6ZZdSRIX+gegH+ZxDlPA/haP2wBigX8ICqjxhJogTlDM42Jxmwo/IogiMq2O
WUK3uSsugt6ddBBtukPY8SH+TL53nJrxhnTjETsEqBQ0WwcRa4HIJcc3szefcdDnFpa89nl76iDO
pRDvLHrXUx1JiII4xW9HiIpm0O/miZ7nEC1d8jC6fWEvGoO3XY0ibpjCQa1AU17jeVL9DHqdPdXl
Lbfptsn1hQ5uZ9CkE16EdGhAkvKO5xm/TpB+i3PRKam9CwQ0pe0gZckTfUcxmKzXhZK0OA363O37
ZspC6U0xRcW9qfMjavnJf1MoYADA3w8FX5pOf6tn/Zb3w8iPoeBQc4a0HUM6ioHSMvp19g4sFyI5
h5ISFDzlk7oW5PnQJg9/BMJAeCGl/o3VSkwCKJYxKIcxBL3yf4XWUvb7UMARgXdakE8+lFSf0doy
0EmT5eOl1VO3Ml6V3YICuoRBMh0b24AKPqA7bmQZF8BBGjFB0aXd0CaLGtaC/gbsY+UFaDyeK2HO
SyRLtRQoLEe9JUOwTbMylC2OkKjjtF1AcedTEQ5LeY7rEhhq56PY4RaHOUWvO94dDZkJi8qbVVNm
ijQTiHhFfdQPbZjnoBz43aXAbTzKQaFa7PyqgPpOdi4r+ZbBwKUyYSd8cEzTHcMbmKdA6WclqFVt
MO0Dwjelrfa+ocfQJ0sggT7qOrOHIlgEemoIOX+opzJMkzJeArZplzeMAkRDxaDvgTPr1xWe4g5K
VoQ1akFL6OMuDJy3atLxOkN4C/W3vT/tES+O3DjsFl+uLTruPbEi7CJYqtN5wufGZjvK2LEeSlV0
h2zdgHf7ynAUzdn7ebjWTR1zO8byIJ/W8A5psC58mMkHEsv0yTz2q8ZZBTHuspmSLWnaGATfEwhi
G4L89ViYfTIOQPJ1PKZ5PBh2DVAXZQVk5qOJ5QJBQPdrPI2HspZWshQXmr22A111vtz7DYPkZTme
aVmGZPCus4BCsIBo1KUzj/rAQaKdhUsDWISwUH3bnvlzztSYFDvHZdSNydYPmvNsIiozTRwkzsZe
0oTBIvY1E29tBrcutVY66S4Cb478HoSSyTWAeaza6dpC1oPRnpUA+su28ettjiPnvNj29H2eeOG8
yDA3WbTMYzzNLpxzcwSVPR+dN/OjTptQQAlBkgG2leWQr4tLx0pQanGMKnZGWdUpTsjKlPmtVzcm
Egt/Q4f5JkF9yLJyVZU8dH0RC+cLRcrlUQdQjs3TxEao6SBGQ/FZIZYHkI/gGzdmF8UstwuSa0q7
tZNiULLpCijr4ZVHEqjXMQxVsvm+oqC7UOGauG/Bq8aSl4omiVFMdER5supAEJkqBQ0ukDTSqQ+X
ScYJheSJ2pscD9sklxlEU3E9V0hlI5xqadgm41Wddedlrt+4oOlXha2yRg0FpGsybYpoKBDZpNID
HgbP2+wNoHFX9b4JvHU+l8d14q5JPb/PC3CAafbfstzsphxYUcZ70MsGKK6xcHY+hB/IMrhQpQR6
NwsgDfnKE6BEAx/CdX/G6KYH0tU111UrLzWuQs/Vqg68EGNQpcBzuhGE+o5EBVtxaaIan7lBwzWR
GussTsUl70B2qY4DKGuaqT1uy2tuypA2QJnyt31TKg9UxUKu20xGhh0JKPrNlQ0FW+JkcGGTddcT
Sksolws1i3zH89dzC1U0kvoRVFe3hI6rpJ7PCgih2i4RnXWYTdkxWO3MjcWKAfjJeVgDGl5XGT2x
uVSeTva1ICHql9XQ17fgMjxhYeX8XWuhEtaQeDIurFsajY1djQldQYC9DjhUsVkQQ/U7KjpxvsgL
mvphEKTrerkWpYGjzRtPIkha8/V/VfiFSPX98PvVGwPfCsAw9rdcDPo/pIQ3cOmn9pEvuRgJCIPw
y/nhnTP6lawEXfiQa8Hb6z4EbQ46OUTFzwEY3hAF+ZxAJ8qhJ4VLRv9KAIYmkt/lYiBtCcoxPczz
O/mciA6VIiOXJAHUqZMrI23kCF0FHo5SS7aztxzpTm+wTG/6Au8m7q2h5H3cc/+kGmSkdbquxmk3
+c1m8MvrhMqjboCI106nmRXXDddU2Z6FU1mrpObrKWnhsfU2PNXQJoLWosXrJdg1dbebJ+jhMH44
Z6mqoJyW5osSfFC6m6JeD+esGyLkjVFQTpu0o7saIice2YeuhBLUjwI0YChaqaCzEff2vd1WQmxZ
tu7B9a3xQpemYeMgmYO8kecgRYDopCcTLfINoWs6tuGSkZM8LY5Htk29U2RO+/ItDm6yVK/g3X8X
QlfNg56ZjZhLdUg1FEmH4LhF3lWKgxWgdBl5kDqUXG49W4VoFudkyNY2r49J35/ntrwEhXrTGu+q
TOoV1RBa5BjxFPSflLLrhQHUJr6LEXeqqTyQ+LsRBLIlD9FwN7ZyLaBSkUzNyh/7uOLjcQUl7Xnk
b1uXgHzl1iJzgUoM22S1d+Y57zztkjW30EWj0WqBKp3KeRWJrDkHZXzXz25jmA0dJpExy95ZsYP/
3CHyl3QXQJhMDhfL09elSTqll6IN3Wxily2hx8uoRjsgaddT229tk11OSQL13BIUb0C1FvYmgRQp
8Lq36fRImzyeTX/bQNQcAZaVNm3o2ZDpeT87fD4ENOKFC3PoqoHyR7NJuulNGjxWiVM9m1RpHj3o
cQE5Y+O8dNM7drQ0/KwvKkXb28DiE4yyVSJRBIVGSP73mUkU87t4Tu0jyYcjL3hDWrMtcQcJ11ow
qJHIIg/HwK0dCW6XdoGLzmfdDKwkC8hO6hZURrOVjdxrO50WrLrtW3Qlcr7t2ttOXs/Fw1idDDhT
VZWdBP4NFEMhNjSvq4yseBLEObF7iJSnZh52SZerChptWgsF/hSejOCqSvdc3uL5vTboBDeQeznF
QA0hHmTT3maAoFNKpGgP9YsRZ+tsRnMYQDy0dXOTE+CAdafKeYym9jHtCTDFvYQuqDEgUNnQoWZn
2ZIq1t58aHaARoDM+Upn3Yqba6gyQw3ktdeeV8JBFJJrv4BeJ7FEAXs71jdaeHHRXbYOAnZ5L6DE
NHAQJWsbktaezXJWBLaDjGtp+7Cbsj3zs3U5BKo35qpr30NeERbQtIWhv8YHAbkDS3pQCoYeGIdu
ML/BZlQCmVi0TA1NDv0aScyzAtZ3HHRpqNs6NNB+MzNoBYK2LzNnYYYgmTTDfoF7lfKkndhrLYeV
64YT6FELA3GfVc265g/W5KFP7koLcNLz1YJlJKgOCfTAoI6FRs5hlncnduoUSrN1wTWoEvyEsrdL
D4Un6MzhMFXbuFhW676bzj1qQmZGKD6Bro4fNOniAEQgZqHHZ6oj4syVB4ky5be2StZT74HwTtak
y1cUxdBA8iDpolC/MdPrUgZrXDcrS9qwtrfIwjYs8DTdOtjIpX7ICqyGFOShYVZeMkPin22b4gR7
aGu9h7nIle6rGC1+lIOnJpBeZN3tsAxbUtTQBiJU5sRq9uVqhE4FqExGA71rzV0yoVAOoOkn7ZoH
oPX6y6YZ67Xl791UxE0iQHtg0ELG4xr1MeiEu65dlDfmMSZv88CuoNtF4nrNiot+CcIBmv4Eh/a1
5lyi9KIizVH+P+SdSZOduPr0PxE3QAyCLdOZ69Q8bQi7bCNAQgKBGD79P3G/1+45ouPd3d70ot11
3HWKIz1P5i+zrAlyzPvkDqe5kUmrx2sxYvzQVhLV3aMkN5z2SaueF9PuTPdhBdEusPQrqeh2suA5
IxenGPLBO5RsM2c1rFqR26XIegx86/g8OxfdfppKvLXRpyCac4/DB51mfNhYSsSHPQBNcWkWuNWx
ls2OyhBLTJO2YxXXhudQtq5VCXoQCGVn6rRS1bMcIATNmaqGrN9IDYxEPPJzovV+qLxcFOzQm8+V
umPS25cGT5771lQfXAZxLQ5O+9CGNwu5ZYLFUFG84s0yIlsC8kn2IKjWr1E0pmy+tzj+SsA6gt8x
3KBdRQ6V68TSmRNgn3m5uHsgWmkZRqmo1NWlOrFWcZ6cr0Okbuy6vHjMsuLVpxOk+RFXl+PerJ30
EmnNX1lP5jjql6uFb2HyeQbY55UsoDKq+bh07MmU43Ol7RAgGT0Fq3WmAXnhXXM7K+vElbprbPA+
g+3miy4vjcawOXaXdoJUWId1UkSAcBw7HVZ2ywq3jwFkLXHnT8fAKy4ezmQip/u6qR6m0eRS6cdw
rI6t6R5HN8hmXt1O4XCZVkmBrtIyBiK381b7aTXW0eeOTpegfwyn6X6Au5oJIvbFiJnYwZrXut0+
1DjW+jBsY1qIt9J+UAO2GKcp1d42YjcW4a4R7dGW6/PSC7hTHYXxEIaPwRKpbFrmGyNKkzacXwXw
mNBW934HlcC2Xoe+fi252lXM36/tctCjc+mjXscaKNwkmyMt1QM4qZ0eo5u6X89MYcK3QLv1izzY
wuRzYIu4r+FzhUPmyQI2uYMTdeS3/do8QEO8AdZyZ9Xwqbr5WDDO8Viw4zLNmWnmoyLue2VVDyIK
3/C6h05Yl6YrRFyrDjfGjPPPjP3FHaIlnR39bFntzhU0q+SQjnWYh5a3h9eU4wDbu7Pas9X9mMJ+
Z4Ft81znMNklXsEfL/+bwz0G8e8M+q+8EjgjfwvGZHBRfttU8xcv8UNjAxVDIJO5PgXssnnAP0b8
jZiBaRwh+PELO/PTbkEUBEFp20HU1gFH8xt23HMhBdg2WFZM/2Ho/5MRH+DPH0Z8H1YLNoXNv3Ec
+3eEjAmn1h9m9cgiUhxoAFfXAiPXgenarR3UKu7DTfa8oE8aT+5sDwPcd6h6sOD/gSB/7Iu1zBza
hrEKhi6mZXW1oKLn7tBiMd9wa0CjelcJWru5U3If4sMKyaSbU9XDXIi6q9+CTS301MVhP/DEmiKW
FJihY8DhzoWq+mgm8awdhRHI7zZ0pJOZGGidfCe1gwFuyNSEYTKOPQzj3n+G+fn6nd2GK0JjQewn
uULl7nzFElaZowgqO3VGB9e86dO2FCL1peZJH/ixXYxf1NDcalmRXRjNADCj6Ot33LvqTHv+gXnT
yK0T13JYEg3eta9x+9DXhky3nnitffZFwofD+6ESIN8E0kfQ42zkFo7nGgBgDbEi12bsEm+uzwAT
K6wm/W0FNEY2jZV8570xXY/pALgvtUd6ZrrlYF5xnGuc8JDHQH03VsQyGVVrHhYz2w01f4cdfSWs
hsziOYmx6B1x6udajzdjiyu6Ze+ceXUcDHOR/AkLPkftK5WTk3ShhZXHZpCRRFuldVh9Ge1eZUoM
bTypqj2OVSXOM+1OZB3kzuAYTxil96bULA6F9bQB4m5d3+GnOMSwBkIMLcefcDgBc5kqDXWznyGT
kGXQYPpZmdYD3jQ8+5+/4+JcEsyr69wmGy/ul1AsfSym0G57k/d6vAvLpclrv9pbwvMzK/KhTJYz
3VeVa4+Hv0HHHagg/48ZL3FAE2DPTSZHpvJJ1CtPIlV4ah8U4B/3GyJObbb7hQ8PF7mLAuiLv2fE
g9HckHD5qiSLcDV+Z8XJsrjPALKbw9qVfeZX5G4Y52FXtuEcU7n0aWSxl2WJ9gZ/Ax6F6N7Twt6H
dCAJJaWVNzA4M5jlqVuOBqylntNIT8+t2vcT99PBgvLayRHeG/DnVNfhktWlaVKfYpqzKJZZUQ3A
EzYaHTz7fQdJKms5RHAXt3beUneKvbVyk4Lac1qoam8mcysplOVucZ4qO8q4J7MNWY8I2YmNJhi7
+lNLyLfJVGfey6yT1TlQYJlUkRdhePMDa9fdmvHGhivFwCVPO87Gx41yV0pBwA7pL5S7aGY3Xjrr
O+Jegtvm3HugyolLzp20LhjIEX7njGvyE3V3GvtOW2ve+ki89JAPpmFIAh+fMDM2Bx5WKg7L9YYL
eYF/mWjQolEvzrUmp74vfsvHd3J6XDwGzvTPEPnQY0/hXL/8oOT7UYrHwhQVMHpsxLXUC+h6hySi
cXguQ/7594D8aDd7EOAXj2IW77ty2/+12jv2+qWqPg9zlRSafFqG1879ZpEZC02Zah0mKwEyrOw9
ytoQBXhpvMx3YDE2p+9EvaWHEOcJ3knsWp/9SGDFm0iJDSRyE3cJ3Pg7W88dATHTD91s8luV+gvF
6rgB9lXTTaelb7u4Jd2Kg2z8sqyiTnRRuHHVzzIDN4epd6PtgeqOYODUhD8oDRIqy225klsJSfQQ
NKK4OGUrUrv08MOIyiqdhbvjU/PMTfm+Wu1Tqcuj1bntnRST2vULALaitC4jrEYp+iidvGHB8IhV
xw/ai+L9ewFyahfNlswsAd63qsPrpBAHIqqJMr/T3pPTw4tctVPcGzvC/ok7royxpV913VdHpuoa
fkJvTTk3pr5zHX5FVurOXedwPym8dXPjAVsXq0lk4D3KGTs9aFK98yVpTnaLz9DSS5FRf8AORPow
4RMeFH/Q460FDjRjsIh3s17XhK3MpHPrdZjfwUf5nn7qcbzHxtPOgZGBxTMHSW8mZu3LutYpYwZq
VtHym5LAK52d1rnpQr9JiqIjyCSoEs9WTiWPdRRCqcFD8QTdHtLPBOU+lhOBnt3yHKj/O4SEz54P
e8VjeACq5s5RuFbX9qZY/Z1VNvdLWA2QzJpdOHsN9iB8aCpyW5VzETul7qEazDmMH/AVysEpUuzp
YJEY8gXAsOCtcNZdOcMwlvpb6NaZJYur4OODI9rXllMv6ft1R014qro+t6LyTgNhb2lzWYpiRy33
lg70Bv73o+CC4BDDLR0V4koW78Yv1q+gGi4yki92qTaNAPq5DnZtMR3Dnh9h092MUXuwVfSJ4V60
nTl1WwgDgesdlVd/5dq+rhbcmMlu7qvVdWO6sKcpnA5W0x0Lyc7t0l3xRmeh598zq56TRpL7NRCf
Ga0kdL/lRi7TyWfzjVbWHVD8w6Tdr6Lyj7Chbjo36HMy0FfGhlMnIxtI3QjgCtwnFAQEOwLTntq5
nHEpeueuC3Gjy6GPx7WqEPGoxH7UPkT4hSWmMy+B094zhlu+rNield2cgEH96vI6PA0Ub2Wgqveu
nD+Czjo3DnQwVzYsw1u1Yu03LMOm81pMoZv684ILuYjOOpQVEhCzyLCYirjxWwunBrFSiVjbwzhW
xel7Xo4iK5AKl7KHppXjzWBZIg8buByNDiPcEEXdItsG+VLyvnzwexB//5t7wUZL/X4xCL6Pzn8t
+v9omvmLr/wp+RMK7tPzMPPbNv31PgB8ygMtD+6J+jT8jeRvEz+kmNAjhDtBffxG8keD2db46KFO
kIDQ+ifrAOb2P6wDoUNh3oPpoj5cxt+tA5OcYbgG4gHx1TlGXd5Xq4Q8v07+zUiXIl42icHdxIaG
AoaB+iD5t1XJ8wpvkkObAIeQ4khLrdnde9AuPCzbDFoGeJID4qn7lt8tYKqop+MovPepSdX61QP1
2Q3+JzrBUi3ewGoOBGkbdkcFDrGHShxQsAi39oOJdwaVxbF9TBJ3bfGZ9PVBQ4lxoMj4Nc05pmhT
2TsJxaabgYOZ/bI0WPyb1NY4AKHvlJvOA71HQPcJof8E0IGAmOx86ELYuDKMsrEjPnyoRiNZcknE
0YeaNOrPM7Slvv3kgGcZn80UxSvUp4q3eWCGnbTHWMMXaEw+QKvyGI8daFcQBV8LaFmr/7G4cteT
5wY6l1deVacfe6hfFlSwWk1g6tEB3JuTp99tD7e/7s/Mre9L506HOgMmlcxjmLj8nhVqpxAuK5Hp
5J9W6HMYsOJFkGNJxqyERofcZ95BsxOLwJ/BSPHULuTOfhsGFYQzpus0guQXTJ9G9xMihqmBHIit
LrfsKNe4vsE1JCNkwwjyYbesuP6PIdz1cpTQa6C2WB/+SA5gLDwIkEhAJQUEydWa0woCpet+GNzh
Vveq2SvQjVjpl3BE0mzoctFGOza/amcfQvR0Cv5B7MyBFNpYLqY3nO4z3NrgpUawwoVwWo0qldju
Agiqk6sz6nwgopx5zQzbuUpw8d4xs1MQYwOEexlke4vBS/XeB0i2DN/7Cgm3aXRsIuyU1FswIUA4
l/ZDAZ1yMTwZaR60KmPtmYY691l0AFSbyNDZdcFphdTC3CGZCD8sPEKQV54sH0ZDZK5u61zW8Op3
wX6g/VEbf0tVXu3OPhQeJCCi4CIzfqC9k0wdHpC+3DVrfwmEB/OWpRaeFCJIojz4WdaK+K6NzMIz
H03S6BERjT4eCh/ZMStf4SW7AAuEZ4BUsQsx7mMZuLverfNyu264t/OHNRWtOhHIRXNj75zwGxvJ
A5VlIsFgjMaOgWEfogJkSwcMbOXHWWAS6VzsE+8OsIFiXHZN9Ur73SJBX8NmQ1g7KWosOdpOhuDa
Y0GPbHOgC35OfZkHwAMgUaR1R7Oh1skSirPT0tTGNhGCG+YNAr/1+xzNl7nwds04ISGK72LZYI1i
tyiVM0jgTLHPrtHIPgh8AloPHny++sV1GUZoeqb5WHV5UCy4iwaEQarpfRY9snewE+hoUjAiJ3u1
LqGgHyVfD7XlYv1oP9VIj2ediwSrrBADX78Fani0l+kJ3OZtI92Do9u7KeQnEKpQJIpTN/QqtQc7
bt0liimHP9+2npXOFH7U0GL89JvoOow21P4VkUNEiRBSsT2e0875YteyjhGXvw8b97VqVxkjB/ju
a4rwrDwFAG8YDY/4Oj8WmqeOTS+96x/DcWmSumIvY/XFdqYbauq4jOYH2sIkowzOpAwFxh0v2Ht1
sKv78ps09Is1Tg9y5Fc8lxgEmwLh63Wmo5NpujQbtmjeG+O2zwsL75UpWe4v/pgQQv3Y67GlR9Qb
d5TAACCORKZ5dkPr3C3hs0Bkl9UR/3BlD+5ksPKBk4sdIP4nHhl1X0jbHSpFDwqzTVnVeYOYQYNh
Z27WVxtPdWi3uQRaKM0zJNtvYGn3CyCCRXmPNg7kWQzXFmHCAQF7FeH9HhG6pvVjY7cn6qmjmZct
IQS7bsyW3jsr37pFcPUea+JOT5CxS4kfGDxiAZhj9c5yxbxc0oXmyneRuERS3Ab7D9tjz9ziaFos
PE4U23pDgVh9EJpUCTOswVOIH2SPD3BRe+TfNef8LVv4o5Xtz+acH2whMHNghTYBO7B1c4Em/5Xu
GbjAzkEKEgwzYPt+g5kjpofKDIw7WDbQSPcTbXD+g1wgkHWgDx4EVbzqPxl03O2v+V1kBvIM9UE9
+vgHynfw57/qzFijFpUboXqYre6jCJBJGzqd1sqc5aLSsIRl7tMspN230oUQ2TrwehGVb7l+ln3w
BYGzrLDkQUcF9Bp2HwHv6Up8sKBjBezS48DGlr7Ckh2BBHnLu3QANiEKXK1PndIXA2evbS9LxZJB
Ps5Ai4yBtQfUaCrvEIFImZUHwJA0cCQBLEkhBV9CwCyNhMUnUalhPWj1xLTMfXc/t+bW35DvFpAd
kKd5idIWCBSEVPhKDQoKgsMQekkHVKqdogHzzTZZ1McFMBXfqCpUY3xTwKw4cCuHs/0E/Gr9zmEB
yKo2MgsJZrIvNlpr2rgt8QvCtdFcLbCushnuKmSBReslDbCvCrE5eDJP1saDcYBhKBd5LtYqtWHh
mI0cczeGDPg9HHpFKJYl/TaBUICpGOD0EEXqM5x801zejq7MagpW2Oi3IVRY77XY1UR98EBGV/Qe
OnHDkf7B1nqtCLva6/COMLoTaz+4n3xUaPCmRjXDOtWph0qUrHFIpph9rj0sq2oLbfYwoY3DL8EW
6KyEBN64hTyL73lPjuRnv0VA+wjgYkURg3cKcIbzFhUtLLqztvAoEs9ZyZDQmCH3GvhVCJkOZH5D
10nejQDrEcvTWz6vWezHBYG9GcE9oh9bqCD1eHbsj8A8UOviIObXiNwCQD9XL8wOT+X4OAwftr5y
Ju5bz46byc5oF0MuzYGGuEDH6owTegNKJi+957lprwOQfM6q1xKIfgM40ivqvQO8cgbCb3CfKSD9
iFBj8rQwGgGA96Gvwc+zyvao6FMwP9f1cCSIB/T9AnC+yiViA3V3Y7YUgap47oZtqhAvsAS52nj2
WK+eNeIH1Yi8K+IIdL0id50vXn+2cVFGCC3YCC/0NsHcCXx+UzQQbuhLWKtNAAhoTieEH6zWubeQ
7nKLLwUjcN70awkUtpiLTPVQLpBiuNKpz7yCgF2NXNjs9CAjKlJF55vSr691gUIZZIvcClhvsDyY
Yf3EawmTrX6OWnKpTQEkZjl1dfPQ6OnohFbu9ysegMrkLpV7bpu8HItDwFfUmoirE4A34f5pBKCp
pII2QE8CrDDuPH3n1zMcy5rj3lnfEZsvoE+gjGQZwxtnUM98Hg8U72tk+Ivdr0/zGnyEKGrJyspH
fL3cT3PwBbj+eRhFXvHlVm4woqCDiXlhYtF0qewgU9F2+VRE8mtZt4emQKrBOAIfrvpp8cELRc5d
qEdkVKtlO3BobmqeTNZyZbP6V11tHk75v17hARZ/L5X/Vd3Zn1xy22v8MPdciox7hPYnxJ7c31xy
f2nukf/gWvweFnV/YeRxaf7k9/5/zD38xo4/XHK+gy0bwDha0BEO/R1A/8Pcm6riLDyRhOsFilHu
TuSTM3qZFwBMhSnd+jVwWffaGQJ01bqYyU8RiMXs+dAx7+zKIadOg8g4EjxrUydDU166ItpHvTwX
Dd8jiwXc4r8eYY9FFdDQ89w/lr48zVN34tETKCgonu2lqhskHl++24dIl9YSp0f9EW4fEtwTC6hr
pCerxK+eCr/JkLA9/XAUqwpCJaw/6L9OZjGocqjZuEJ6RBp+Y5vaSdkwOSJUvMSWjWgWXfjRHxDl
lv09EMY3K+xOTm+dF2LtCGqy4qBscwJ+6dD4gYyt3hwWhfGxQFnGrdHOBVT60QjyuV/EbbEAmTZd
eSV2kS2a3ANo3GKZEk0yaDlBNtvjyeJjYl6bFXk1/y5wfZngFGn3K0qYnGiw0FtFsLHd2t6tGSsE
GU4BqKBaZhEb825qTz0YvskRd2zos6Zov3n9fHBgdOKShEYCWg13PViEGWm2yD+2Bd25VihivYq9
MOXOafHDsKpbdyCQ8GmXuvN4dofuPNvuEZ1kTUpcbOkYsLDMQ0dvfKTyPae6TnUfJF7hcFxPKAQx
qzrPvSuTVTh7i8IKMAblYCv7CqU7dXm583HaTtrcTEzt3FIA8nYFqKg6vJ3FOCIS7GO9t6Kc2XVW
IjORTB6yvL4CY49mkNBZ9q6GkIwwCRLs/nmCdx73q3uerPbS+wWiBQXWWn37R6m7cmQR/0t0blEA
vHGj5fBfnTtCxUM8FsHt/4bWvZgb4PkPv5G7nVZDhyBFnfxTuRvHoAXazQ/TtQzLFLAL4uqgMbk3
vTlTUyE7uowppn6S18Mi98Bwvv61CG4Q9blH7uVfIYKHaO3HukQQ79pUaDArf0vJ/KE29Oc9+qev
9OM+3V4eEjj9Xiaz1Sn+hGXCiKCeHJllLwy2CsafsAzFf74tjag/9GyQ6j/vU/wCkBC6OVTzzYwP
UcP4T5ZGNBz+8T7d0nIBkB2A8Vttw2+WxmgFnUDm4KGqlrd+CMPMq8LxpCOIX5WFpjk6QX2FYUeX
HLBdeSYrblS1eXo9OIekqtcoXQX5mE11HBnkkiFEAHnwVh+qCyzBaTMHhzoCu7AZhl7jgh8t1tvF
rXbjGuz8wrvX8/A4XhQgawe/oy9umhLSIUpeqG522GGwwrn3wDt5jPitAqmmHpvJHXMkvI5FVQMg
1g6K2Fq5JgtfvyJLRVLfHfZ27+N12hfLTJfBJ5eQ+3kXEJ7Z/vJgOfKzBG5pXIL82owcnFfEMwne
e83uBrc+ahIcyw7BN1tllaMemoDumKsSNomzuyXlOkTmxJadm/DFpunOQMNfCRNOYrUriggaeE/1
2twNDgCgqALwjvo88L9Iv/VbjpQeisrauz3s/wmy4xJO1V0ZItunt5RfZEp+sw5VWki13wplGKi/
SrlwxML50zgBbEBVYQhlGQQRRQComPfBoOLSy41zgbi0H9v3zmTNpNOCT7HdTJmzvuros421zlnH
2Eb0pkAKwA3SdoGb51YHq3aujYU+jWhHLJVzZCN8RNCX5aRQyLNgSFdbrYUkYYyU9E1vHXt0Bpnp
6hSXJgIaCwKZua9LiKY3ESvLgDsP0HAjdx15c/CvSgSF4rWgqSnlvic0nzSubCT/bPRwWI2fW7M+
yeXrjBota/xcd+9GiOO43gQBwl143pzqbe5MYkP/JsEnhCBu1qW/86I3MF0Xz3ud3CJHcSNJnaY/
2IPyY1PCE6StD2mMQBheI/R4lhWC103zhtX7BFUnx69k6dPBtx+bUUeAkEAiTCJzAngGiOmiiojY
HQKD470dIOTdtv0tDxtyXoUFW1LiwVmkG/2r1pLgb9eSX36R2s8TFBYaKmhgR25f9sNWhHeNnhmQ
hOiTsbdQ7o+TEwFex0dc9xdXEUfaf09O8h8XJ5kPzxA9XcCpXHzVz00kiOD/QW3zHRJSFHX9o5Mz
wCH8O7kN/CN6agFDhvj1dc5WYfsrua0itjae3TyWUt0O2roysUlW8sy49dDaXyNUhkED0IDaIl/G
yn32dHCIxGuLCzxbTVUh+ACah1QlXBuwBEadJNJy2lMhPGvXi7kGdC0nyMOzn+Ptk7Fv+jcw74+l
5cAfc/h9F0HYL6nokp4haaucc91AW/On4q4XeIVWIkrK1tyPphf8TrdXglqSlHg+EIc3x6suokdr
qxaHJUBmkhfFvmWgcL1AflaeTFVY39Zss1kAngxQjtDpaVbAv9UnzcRrIys0udTrB3etOunoiNrJ
3jqgy/UzrrduU9WWOPD1l3ImG1Jg37BpvGUm+EDtwImPosPhOtybYn3vHSuZo3JCGJOnbiBfA1e9
MmMhDyVQ0hs1LQpixjvbkUtmOXxvov7VsRE1NBBQQglHTRe7LcHiE+tpwUDfKgDTctrNHkcXg/NO
Q7OrRmmjItdOq1V+66kPpmpCkYwfVVcbaiEcXLO30e+F3t3n1kbsWCJ9uqwBqi+RpBgd6xBU0+04
t18sV+6t0k/N3CLBUQSfmRlfulE/zpBpAGhVu2AyaFdYHKRawrfASzVnDzzsD2E5PbXIGhQ8JQrt
pAtIR4W8i8CqCVm0eIEME5uFg10DMz3qVATBsRrnEyHIpyG45IthD53tiIKGOx3BSCE+9K5gyReK
9EcZ7eohumtldDsSskfPIyylftgtY5R2lvsuEJ4SCFF5CFOJQeYUGuBUAidnn9DWhjt9S19hnUkd
XCvCGzK8Mkv5SJ6CQKu4sUxKF3HgiHIpRLpQm7uvEfEqdH/XI/IlJBBbRMAKRMHGLjxoW+zKZU6s
xT5Cf03sAtXJPT+xJriZtXvg2s89X5axo2nWd0saFCSFu41YQ23je4+mnT/RTJXsaOwqV0PBkeyN
9q2RGX4Ou77fShe1tVNtd6YlxC17vPGX8IQE/m7pTSa76LNVeSkqNBqED+xboQIIm0i9NPBnUrou
KBSSrygk/lJO82vluAITBySBsvoGlQRiXoeBo7ZzD9abU4AVxPoOdM07znXXJMPkoXjJOsvCN7HF
0ZHhQshE10yGgPWpnNHMMrunycZjN/dvFH0WfgRLuvwoGusj8EI49q3IfDl8Gpnskn8VmoKT+691
rT/+Ark/u0zwEj8vE9QtID36C6GyqUo/LhMgjJ6NcdsJcJz/1ruhMHwwa8OagY8IIuXXl4mD19qa
0FBP5mB3+GfMOsGu8bvLBJQ++iXRW+HbAXiV314mofF47djzQ8OLuO/qO2RoPwtC0p4gJmbTl3bR
eYFIIS+i00R6HBw4er/38KA5NgIbCyajD1PEOU4c3cH9aF+kJZKuLN+jCUlxCDmmQAkf3bfoGg9C
nBV0fKJIWo+jg2oCUOuCxmvV5YXXoIq1eqq99Q7tAF/cyDwrj2+WQu2kFuZL0a2PzAaUoHzSJmgh
qKBhR0NSNeunFpCIh/TSQsukIlW+9Ph3dp8GtkmsKti4gA6XDNkZXud+EH4bg/kAjOJQFu1e1uhB
dHuQ3MukD51CqIp772OLDoXugxJ1MOYJvc3gDOv1yXJgP3SsXNPR946EmVf0cD2aYAIzve47WxpE
9oqPxWk/I7v2LbAc5P2RYMs7j+1lq67hEmUaLQVo+I0BMKPjUu5lqdAjWmaLX8Kowf/+5LwrBHha
uKs1PvhiTOF87EAUgrygAD4JxnGNnq95t64+OEtkMGGrjxUkDbgJZKawqFU6rU2+BnNe4wwNKicj
hCQQOBGfcnc+cghIL7GgwK1PoPGDtrS+RgivCnUkQt1GvYVvuD0UXHwNIZqrTT1vIaP784Seu9nE
alPYa0jtIyR3VLmdZ0jwFFI8gyQfbdo8GlM+HIj1irYvIXRJARF/dvvndRP1N3Xf2nR+D4J/B+E/
2ByABVaA6Io5BvYNeKk7GBxrAFtPBOZBtzZXCjOBwVQQMBfWqd3XEWoQqIGJgNYpDhuihx2BreaE
nuakgE1RokpXwLaYYF9UsDE82Bk9bA0TRBmDzTGU001J0VgExuDgtwGcEO5ceOQ8BQXWj9a4b2uF
ZjsFLggwP0fvuovjk5l3lE08ihk3ePAQ1vgwjItOENOLKzJnIeQ6VascRWB45usUMwQWovKhE/gP
+ZoqbGdaF7e2BTOQDwdEQovaNLHTRYldghzEHDVLkUbyCyNILivy0WBb6Iz5mBo7iwpUu+tqD4D9
xCmKHxhas1mGRupL52BC6LzUm8iDcknS8f6lAFxQI2S4hcp4qx6XwrtM+EyRecgGDe1aRHGLHIJN
y/PI66zwBMgvffaj4t4tV/zKE0TTF/Q7NahNBwz6WHTAngWQWbRZOWo5FVWUlVP0VtgSH7ooryNg
qxZcPgSk9piW0AsbHdHb+tUOmi9+/7S241UUAG3q6aVs7uzVO+DOT1QRIbUeAgma33pdPaArd+/h
+yHoKmOVQDshR55rkZn0rDNiqIcFaxSSHacRSzaD0B756ghDLfZGPIL2uyOmvEVQBs9HJoXeBbjs
mU1OPFA344KdSjbY7ax85OWl8pezKmokNfg96ZDw5sDPaX1t3Yu74gPU6YSJNcb/NXLfS6oa0Hzg
y1blZmJ5WEaO7Cl8TK+3cvl/7J3JduRWtmR/pX4AuQBctFN3wHs2ztbJCRbJYKDve3z925dSSCGl
lPWyalLrZU0krVAEGSTdL861Y7ZN2PuhwxOuZrvUxrubeza+iYyjsdOt/WQc0sW4XpTspA4xTI3p
PlRS3sa8B+dx61i437Rh3c23Q0PEDCB3V5a+lo1ro1NYdo2M9QEIWudc0HdfVNmmWgxsMjnJdPg4
bbdhjPNwO2476z6soU40Nml+9aTX+m7m3MwiTIMdwJvEIYQSrgab3TQuZQw1hwlEWIXHXeZUU8FB
C9zHwFTkasEbMRDfSstNjekow3wUTDjrs2HrqvBH0vFKUV8g3G9sLEsL1iUVC1NcZCeTJ0aKtWm2
dc9Gc3AKxbewPjlYoBSXSQdHFMaowHRWLkYpG8PUhHFK1+JVkE3bCoNbNr62EyF0R8DRVL9h2Qvq
e9LPMXfg2Ovmbh9E6d4o3fOcsJ1WDeMtG4Pvc8ZgP7oWCZBx06twYWo7ooFCO8ZVxkyobmIn9iAx
Qe6+wkBXMhOHXUMOXGem/1xcydcnX7sXSgbZhGxV/OyozVbXAQ23J2O4TBm87eXFTTMyxCFw22Ht
2B9qmPjlcl/ZDd/bLxWEZXjmpRFUOTyGFfY68PBrt3kwWGg3tzwgWKWyDSlCKHnH1HxRsJ/r4qCg
3/Shta7b/iGwWVooCwAFe+MUCTmvj77Sdrl1ZbJwtR0AaJP7lIvozJbKdzAY+Wov9nFveXmjXyK1
mLcFVuTJ7WWBwYiJTv0GLzhgtV2QlzT0u0DPH3rrQeFZFQTYIOz+ShUz9x1Mk/oEU6kAkeLu/5Mm
RpPx7O8nxt9b7P5iUpR/9LdJUdp1VNey0CRw0/w8KLo2E5+NIIRqK0v7flIdXAOdF3kBq7Elh7vf
RQe8lQxrkpjLP1lZ/juig/kXcyKfgwu6KfhQktL7xzmxwhcwtU7xUOAkaTjolM68NktQPlrjiUQ5
GkN2nXGV1MBXmFA/JnpaxGTcqf1jxUGwZMmaexJMUoL01XfF0HcmrhCFE7/R9NvALq8XTKAOHv1c
rz+FE+N6QBGoSux/qtL70+Ssgz666/vhqi8CIjqWHy/IpA2RJsd8aCsOtHbadBxYQXLmQUMGKPWI
le/stLoMefugJ5ovqvbR7MgAcAglLoENpVtDU1j3Wn6c2aQ5Q35pm+ZiNKEfOuXnmOrtula0reU0
2BEAH9rODfr+OhQAnOxvNuveNnxN2Nd1M+U3nXjuDQOmBkln+5Kp9x0ythpjc21f0uYU54Rbwrsx
f1CdgDnrk4yNB9Fgay17gcvU1lYJuzoXUfSz5WpnVeG+S4AxOTdt+WRE1sbOXnXrQj6paolF68Nu
6S8JJqqEs7u8VqJHDU91HHdXbvHoqsoGnZSEY4TbfIWVFmmUIDuM4aTheVZ8HzLhsanccoJbeKza
i9MSvDFvYzbUVB2FFD9o1Oks09qaO4Tbb0zMnnAfhkrf2NOzChVA2cV5z3PgoA0MUeu48Gq3WhOj
W/f4zAt1jW+ySYxNjLItDh1tFCCNY+3GTHF7eYQY9fzb4u4HPVnF3aZkWQypTJq5as5nbNrpzIJW
eSTB2DUHEeyXGKZX09Ye5p+VAiG9PcfJfJcJslT58uomr9mg0dy0aMfQym/AL3NkW5/h+OLE47qr
85eFn3snZMYMxAetGGu1Zp8lijduKdvAoPomuS00Pwo8zEuDCaPF4HFw5dhgNfDFG+T0yXccNKPx
Qw0FLKiyY7d8lOH3iPG85vcX08oZ9rWT3fAMPZh6SZgJwMJS7/qI51VNlN6Si3Ij4xF3yYx6H3XE
92P8vtqr213sdm9XFxEgBxzLYTzTTRFqrwL0Gk0X27ScCYheZqAYfTFctfEteYadEWQ+5BmeLOe6
+mb13XMgjsSM+RzDxByTltexcYitjV70mwqoXTlaJ35aCmsGR90N+u2gWMfKBRJrnCNGHY0Ngxjq
lR2R2xQPqQuVbTnzwCzU+6J+Wdik12w+zK8rHK+qILrmFRv0EwUrTH3abZO/pvMjlvvTgosgSgjR
6Kztz9y2pMUJZIn17AKsxv7TIom4k1eT3yTaCKHvUoeXsm73OkdABXv1usfi5jiJV3dI98m+KUSE
iMdYkD2SyvGyioWJ4vo1LoX05HQnLdTXMbuXIN519A8VhCBAjPXZc4ojKgzuO7JtRs84DZ9lUhWv
WSDZL7AW1OBUR/FmULIdGxhcFctmNDfBY1t95kz3td4c40k9FelFWRLGSDyzmMFiEpdur5yarNkp
UGIbzL8UJexs9jVlXlZcCfWVnqW+cDt/IdMcTQejys75lN72cf82tuRXQWkfuhzEwBc4xZgcj1qu
Fj5irj72qkv6Y3L3uhVe6U70hgx4dvvuW+iG77HlFOt4Lr0CIgsvCvuGbcM51VIIddSRKYpxrJd4
L2x3H2t1vq744a3LfvxIFwfykZpcxKS8Bk4jBxNmL9sOD7HUX7Mguu3swisLpNWwYMkyubtFarZl
QCoUERdyz1Wevei1uPSLOXhWIy7u1D/biL/VmJKZ5DtjIAvHUh82EIprBONy4qC3lB5P5ZLcKWTi
CMGYD5Bv2S7rXCgQngsE6FQq0YnUpBupThdSpnaKY0yXjKMHgPO6ajVLRTuJ89p38gtbk31WPxWC
D9LqiNAceMYqVz+BM97jzjxlRXc79S7Zx+JWc2DglZWxdjL3taaubM2v8EsRV9uhuu+RdvOx3Rpo
mFmGSNFyq6eeyiBtoMTuOoQIaejBVrjazbQEV3q9S9SD0XMvZpjrC2OjFPuS918hJ9zwYJtUPpia
X2bm2pi/Bekm5C3ejKAWq+SmDxm4clyVDNbARYIUZHv+3thiG1NO5c79KsF+qaTNenCajSA0DZTq
OpwLv4eju+ibOjkwXecFHjaGQxqLdH9hFGcr8aTa+zA/0xjnk+zfVK2xawZxH5DU+Z85xzF0/TmT
5nAn/Vdj3L3sG/zf0yp+m+cgwiLPyZHOUGkTNA1ms9+Uv78F0mn/+FfKH5Lf/3HTIVjxf1L+TPZS
GngWonIaNqU/TnTlj6ZDMsebYjYeg6R/E8Z8a0dlCMewgDkUOacpmO9ViLceNGMO/GpsnvDzvvUE
CtKm4MEfKVdJ3L0tywj8FFt1TxHAqlpA+6sReNUSG5JQIPlTlUi+x/VJEL0aDdnXJq25H3a/9iYq
3XxdF6AfIeZSCddRU5UGKhNAjh+u4sKPT2n4pra64yumPq4Tt75Nat7gEechfrnRV55jNy42Sw6p
gZzng5Lmn3rDmreCszSp5Ho6UHti5hHtPrTFt6XOi3Vb5t+ltdwdjeLrjUHCAky5kxlwYMc3OdWO
hHvniUNQ5G3vyym1UAscXrKo0a6CAMtq22zkGEriH9DqPPtTw4QqR067wjyQLSrQJQZMS3Y5GkXF
42jSQl/IJFqiVgLAk8AhzcxYOhNHSXuTJLZv5EPOgcSUkSXGa5K1j7XmLOtijiEczRqdfdrwoITN
Y7/wSNNzDpo5bBmRYlZDsNMyatHYIMu5KNXAvsuJCHFr9FihKc9JWF+LpHjERSeoEaM5cqAdwhtK
LnuBywnTpGGwdvti2za0wVhVBmxP0Qyi3mI/qAFYLOBT3gh9YK2o5Q5qE7NGpEJArStkPQbJVYib
H+8jMwJFVVE1qnT2hPygagWjHsy7pekXYEBDyaiedydzhsdWCTF62PorL89NbfVVVhnaETVYorob
Gh5XmczkipZ0btPgSkgtvnpWSsHJIsSbhyxdXGK9ZJYiX8wkfZegIukbMKjZxIAtbfmwiQVXMx1o
aN+ONC9/xiHZ4RE1DXY3TYdGdUfpznPW6MwiBI5Tkw4xcOTk/ucRoqwaEsEjoFzKpHKcVMfgK7sc
6bJxQy38rqlv8tHEyNiQ2WFJucqhGnVYLd2IpqLQLlZ53h/tdviGuEj9zEJthsFyUT3YbsYV3eZh
2h01MbwMhIDMeri1eeav+7jd5Kiam0ZxdlZYv2ld8MLwd0hLiwhlwVcslEscJceIGE/Qlh8inbct
QJ3VYrRn9KFzabd+Lv9GPMkPE9d/UB2pM3KXwnPIl/KeWsopLLNsbS3tY67P73qUgSCr0cIr/QyO
6oMXxQjVFhzfGLIoTZwavHyAX2S8F/a0D139lDP3w2cmeG5XntKRv6ymV/Ya97kIlV3upIXXWDAu
xuWST/UL5I1oAykeCcP5jPOqpZ3OvC5BsvYAdUgvjo8BzFYWbPezEtHO1hHwMzE3kfJrHmbJgLUb
3qFxqTNwCHfZkBHZjxY9c21cfs/zQOXy0kLHGyhzstvlZQgQshzQL15hsW2zMPoTWMN7+SVy13q6
+xK4w0xzNqLmffRD2WZ4B9b+J1WbgaFdpTM69G9ydj60BQsLZGxqTrCkWA23Q8TrwB6iddyCGUgd
XlhRGqzLso22Upu2UiplpDBduoV6M8WG6f0mQkPicdd9YvAbElRYXRDbVaR0HljfpMKcDCEQZmTl
QUf/FzMfqezn+1Q41HoWAxL/L9JxhXbrV63FWW5CN2Nkg8jfUsqKpYXvHQpwwCJ3FdWKyZolVbaA
H8Mvobe32cNLhdeIImYjjEA1Q/APVVcfeUNKTbfuSNCHpdlAudGR9PLpOa200TcUNuI/hNpsYLvb
h7RLLcuyG1P+gu7cltu+SbV1r09vv2qquSrlWcn3lUJqV5i0VwjICl3JzfCHUsqW2pcyKUyND0WF
sih10ZZXUz6xQZEiKEwPvumRJjO2d72dHtu+eZHyZkK34Tq1x73UM+FDb37WMkUX7EKLe4dUL7ss
eI6m/sbN2kMJ1xLs5Gs2jsGabt5DlTIxall1yuxg3tPAd6vQFeiGrFWaIrlKxunJcUpsEsFrh2a/
0k3U2oIQa2L3HPzt2K0Wsq56296MzaJzCE7wPAjH9oRkrcy+HQjNZkG7FvmIB07bQqJfW+RrgVAT
EZwPEn4d4HhK7Yl7DskjL8OQvvoL0CLOl/epJhg1zTddTEOCUnXXEqJID/GunkN1VwuMarp++wOK
iOGa1UtxXQ3ZlWQgZtMAgxUAPNSjD7KKH1luvEPyPtdN8iSZhlmgYJ/j2VaF6PWSWKjzQpW4wkTr
Xrqh2YOCeJWMQhhM95JOGLf4zo0heZoneTsx+xvJHpwNDXdyVuw6o39veyXcwSsySICxb1zM7C1c
eFv3wh3vYK/dmGVWQv2TUodQ49UPml8D9Gf3BfIjnMg36wfEL6SqTkKeu51E9pV6IjUYuVEoWd6r
hX4tuXyBKE0OKuW6drOek0LaSrraWOu/QvgqXuZ7Sd0LuyTwvoh7RrBUnp3hJpeYvaUoyl06aAZn
zQ+0XpfE1lOugwiNoGE8Dr3T7exyardFG7wMSWjhQ4k+bI4ONk7puJZAPLhNElr3CwzPNrhcmiH+
w6lRBk6m4JWCZZSwKdtSTcHDziT4rHd9u07mYVgl+vzUJVGwKTRN7GczvoN8vhManRCQOnlPh5gz
xnw+8VrnjjUZR20ZHvXBqfykUUi4pWTpUANGb57GD4fgNZ1xOWDNmWrlrjNImkZXrj1zL/5RLjmZ
0XugGi+dbZw0oukQ4a3i9FU0acfZXTyoWOy41SmGXa17sz7GmknIH3fnKh/Es4FR4j/KlGAyvP+9
xPyjmf6fLjU4q/iDvwnMUIiwGxg68jJe3t+L12T1uoaTDI8RtgIhqyd/UphtTccpTOsjCVRDXmN+
l5htg9+NiZnKNoOLy7/lCAaJ8U8XEhv9mz4MgUONR+ifJObaCHtcVA2mnrdm6I7QztYuT161vbSX
IVlbn+PbBDHeKe5a6m1cFJ2ONqIWsGdwU7GT0/N7i6VRKhTUp2PE0nDu9w2r/8k+15BIR8XcdOpT
Fd+10TFwEKAmFWYYa0zw91m9itjcW2hJoKdXvYmxrEg+Kvu7WafHob6UitgnLgQG5RzY6EXswA3K
kaILgIeVm+LcsrOnUpq4zsFnpXw39NJXi/QM4ItHA3i4ABtxWPpS3VWT9tpxJj8p7avSlADfdhvI
5Y+kCi+P4dIeRjwYVhDCsWyvM52+X0tZ140XgflVpvoQGWcewG57jLsn2LQzkOJe2U8lVx/1ZJk2
tj36ydj5lnbEgpxNs1nhQ8X/aijroVJu2Sr4OtnCog0RYhiKDO09Y2PdUlGgQWY2pImDJTfrtzUS
nhcR0w/AKbfOp8kXNp5zKKhFczMPL/LDzwAeSsOfR3acDDBR9KHQU540MKyUp+hhUoleImTxgMhe
zRDwNOM/95tVjtfCUJA78vZoFE9NSNg2WTWQFSAuIVq1uzCGf5EofklbyTIXFASBx6DvAZFkTXfd
ZgmG2znst5kNzDhTT9p0bJT8LDId48J1gCGyDIJrrCPw/E5zzOwgEq8oTd/J9F3c56cqu83hj5ZK
s58ZWBjucYLx4AkfixzDb9Fv0y7cR+NLOWcEQT90vMZqem4xAMaND0B2S6+5H4aFL62WPa8zZooE
rWdio5aaF6PQ1ppbbhZbgQ43PsdFd6q7CWbcdaGQOFXtdcEp3TRnBpl11C67TAEjlHqLNa5TpVrV
Y7OlH4oWIuscBE9BsmoBdQkV7gXKpq0deVO4+lbNXB/7o+fgKwi06iqOyA8PoW+Oza5MZ14Y7RUU
XJ1X+oDZTqkfa7AtxVjfx4JHZNT4ivVs1OoV9Eb2wxbePYx3rvATTIhuPLC3uU/VB9MJd45hAFIo
N63zougdRaf2qc/1+4V7hkUzk9UqCO3QUOkz6mn2ngNtp1d0mA4Wz/N8r5C8VpTBb1se5F16u2hi
16b17cx2ZJzeEtZIrFx8nfu5iC95TdR12YTMzsO7QR8IueCtSkPNqGXslZ65PHhq3vLgOosGaAmW
FFx53uAMXhdTc4q7ME7cQ+/cpdpjlj/V8x1633pc3vkxb+LahqrAIhywTqpfKx1W7yDbZEm4VsVw
oZ3V0d6c8TqgQc1mSnKLtTuJba3lW9vtT3JdXGrmZ4QgBwxE37a4ambhKyww4G9406fTPLczHB96
XUJfxzFFRQ6oyI0mPF0k9w1NaouAOKa1BLtZ1oQunNnRSFnXc5DFXblDFX1YUufYOkG9ymIaWWYH
Iww4NGJ3StHjMmELkAfPScFW2yqOxD4eZsFRokWAjvFxiPKylPN+aOqratQpf+uughCj6iJqtt1K
JGtyVobZM1bFd+6iQ3SxXkPLwJxldaanODpTkvZkphU2Kso0Blc525Lcn2XbNp8eoyV/cGuoOwT7
9mzptxPBITUW0CoNz9TnfRfr9P9ElwSgn5vED8ySIE9mygV0GRzetDB+u4aIdIzinkL/TWsFe0a4
HZz8fuLd2UEJVgpuWS1mjEGHTQJHOIInPAXU9cAXRltZt3NxV8AdbqPiBgw1myyIxLZEE3OvfOBW
PeIT5pajwS/O4Bj3KohwuMa6BBwvAyzsRMFKBH3GooR8bQE3XKU0ySkVuyAq2++4fqUrrhlc89OZ
CF6a5r47RmeTaxSTIeX0bn1ttjO3POt+bqr7PKgfh0E8Rk6CrytOnpymPzZt9sAnsvBScVmx8xIW
Rx7jPFZunZLEYFyMKlmEzTgud+6oQMlfymedciCe7vqqrE3G0Xovb428Goyd1ip3YbEsqzCajoPm
EB2oG7Zbae9xo+EzQqmXhPjEIgRt17eLpe4Nxbl2rGRXZwW+WfuE02Ydde2xd8KbIlo+0M5O4TBm
6w6uYZKa7JNGnEnmeSwE9sCrmTB0MpNLDO0KBb4c0RPw1cU119mwbE7UQVByDvhIhX/AzzksJgou
3FduBhgupPtl0K/6huO2SK1velhfFOE89Xr3adVg9kE+dGO/oXZ4M6favl4WTh7DS9Lkwe7mU9e8
lBHfl3TWaNPLI68tHaqM6JiKihnoOKcq3mpf5+qQI80xEn/OIczTZszplBGFz9h5VRmQYIFgqYWU
LSB4L9ohrCpcUHOT+Dp/eXeqPEtkL4Ojv9AjcVOqKj1JVXodp+I+XRTHV78R3UhmNqTJfGnU2l2V
kyU20QCEolgA7NWywT4mfeDrNuvM1sJLL1o6W0fZZd/RQLXG9977yuTwYWdpQ6d8DyFKuloqfrl5
TSINy1k0P8Jt2gVuBAo9fQtLmpr5qq+ozu54VBk3lR2cbDO9igvxXRbft/2TxTSwTJC6TMVPM9bi
9eLFY0CgtzY3fcWjebIzuO34nYMa2p/FaZoTPypOehO+GzONU2m4buv8KmjtbZhy4X5qKfLWSLxm
PI2L4rsbGntKgw42Sd8h4b0RNp6Sn/JynxQBqgofYuHGmkPNN+19PzYfLP4OMfPGgpqc1Hf2cBYl
VOGXsSROGNPpsUXdMLWjmz116XVZH+YUgHgrGFDSh2EJrkte+11k7yyjJXD0KErjnbelD2mAFqTh
O5LdLgPAGDbGg4txabAfKzU4KLPYdnVBI8SCEmqmXg+0HKI3d++dUL6FrSt9XfADiTqb1kbByGPr
38wShHHM7ts32qM9XJX1doKYpZWrzgSkg7nJpSXFMR91AIWrhHJxJddYSn/DVb8L5n5jIu4Ok3mV
Zd0bwsh9VY5nABskAqK9jUSw9OUpxfsfH915+kSmx99UKZv2EIudE6jgVtW9O17qhQIB+Lrj8mI6
EdGobxbHDyCDbUKzbwjyfhLycLrjDH8aJuspcSKGJ2NbZe4lal/p7sYxOa/c8q1GBYuqt8Cm6sHm
eTIb1o3qQP6vH0N4RL1mvGSGuvsP2gtp5G/+/u71/PnfgJjLD/HbLQwYoIYjx9ZcnZJYLjm/roV+
uYVxN9N1iD3aT5cw7R/Smv3XlbH6P/5vLmGmyi3wT37wX+qvXV1GQYED/XEr9PMlzFLly99qeWFk
5w6QgLxAZU6+ixycOa6m9awaywd34m3w6/2nCcMra4zfRyv+kJecqmCboldk4WutfJF3Ga1TDmQh
Yl9eUKDKPFW1quKkcbHmZCd5E2mpx6QftPLLTuwDvQZjKuJH3TJz32hmr4WYI28MU2/da/n8OizD
hBeEUVPTugvTP7O1tk/SdEfAolsppRtCvDX5fHje5Ai/VOmOwd22FJziC/UQWv1pzCqr6yh7iLDK
2lHx2DRYcdwpOwDnPuup9TYwoqzaabllhI6FzWTG0Exks+aBnN7IMTlaai+q6q0ckBfbueudevtj
MhZmTFwzE8PKTsWZ4330KFG4asvmgfvGZiDKIifavCxeoyZHcRycD3ZBL3I6bTVmYDc+fo2jeneQ
Y2jPygkhOHoZ8bNCQozfO7Mdt6hwVN1oZnqsTBZPNdabr6ERRVLnMdAq/o/xcJj0hx9jYWnMFvRg
5sFEZLP/8yxIa6TYRzxtNnL+S6WaJKSu5EqFaZFak5z2ZpPRYkaG6sgpAYJAmRoG/JG/TXU58pWc
6GqpZ4k5o5QCiWuUWlfj2C+iM9otOVt6W6QiFji1ueqlSjbwqXF1cSt2CDH4g92XO2eZ74olc7Zl
YlZeJFsujLAKCH3Ft1kfweihHUNvZmpdUeogEePpyBrs88h4eYkpeMzbqzKZqZ+SWp+N6FdJ9Y9S
9idN6oGhVTLj24gAktmpY2jbfPE6a6kk/kB1UvOFiVaqjYbUHccxvunnarobC168M+JkmWHfYB+K
hVIqly0SJil4xFWc+hJ+WSJyWoLkmkD25NKHmRMhVG2Kewm1JBP12iOUFinXTkiWeYbPHoxlN7DN
k2tDM8izrYRUVlJ07abzZFnvGZU57Es+XCOEPotMK5mTGWwsDflWcevjD8Rkqhu3sZH7dVuqOxXh
VyIjA4TgXirC7NFuZiTibgo/qn/GQaZSWdYKkdP1w77zB/yxQIb+M/YxCbnQ/gXzkWB4uB6k0v0H
zGMq1XDJdhRSH6+aIcYAF7yqVXFMkdAFuMZJa/S15DRmiOwsbRbqeKqTxtt3JTGMZqMFoEDs1wqJ
PkCqd7vxpkW6l0zFSGr5OqL+zxTFks2TJCgmLAGUaOnWkvjZuujUrAnCOL9j/roe6j6C7WFuAwj7
K3xkm4AVwxKHw6pn6WAv7TZhCeFi226wb1fx4qwrwZ4iGrgvJqwudLnD6A00kT64H1rDD0r1bZDb
jkDuPcYZy5SQu5COpUjVyRpI/OzYo48l5cN0UdqjH8zLcyp3KpHcrjRyzzKk442Qm5cxTT/xpBxq
NadCjE4oVpv3EcsaBkrSk/j0qxCEZy03Om6S0Igttzz2XB4KufdJdPbCqtwFWQLto5b7oc6ua78Z
hg+nqj042hisWN+Xi3rPaQkonIA2jFIQJilmwTRmIccqapE7KUqbd63cUg3MJOBUsfTbMkiRk6gY
htq3856UdQIdOc7lHb+xbByT7BS79oHkBBYnCpL7Crtx0S+4sLvRa5qC4Swtz7keZ3vqbyk1oOKC
NdhqdPVu+3f915U+e4DYxeN/r+m6rZiTaY0ydlP4x4JrildF4I+pbTxHhuvejkXaXScTC46FDbpn
pSk2vQXXghGzWIZbzHc7mifj2h6X3tc7E3UuMpb7PE+SehtbJueSM3GZaTssJIiWKiaxuO+Tm2ya
aVE3loSNg66gIdiBQY2IFpt8sbUT1nt27slNOFf0WZQLyVfPNGkta6hK2lddF4mNmtuE5126NggH
op1R+xHv7RpPVBdlpt8NKPIN+8oNvNlmnwdk4icRRZuv24tKs9jN18WlhAkECHKMNl/XFaVw3CtK
GUpC6I7t4y5HteydcteO6QhbgX+EidGDtHVUdJ1i2mlQEAD1z50vbxRaxZ0gQHaDqYXOryWY2lmG
bHLTeVBcPI4wtVWvjAR31dphl8rM3tTasnMS1l1mWb6xRWdCJymvZPrN18w9EFcy597aqBb2K1VP
Fv9rio6X1l0baXJKrVLdimQwHzOwECc56mbpEPv/QQMu+Md/MeAe4/Ati/8XAZ/5r21T/OlfZlss
T8xpf8cckdMk0Xe2CQZ+od83DFie+F9wRf6COQLfiw+IjQpzuyzP/LcqOLET/GG2db64K7pmEavk
8Wzakm7yc3B+Gui5yazgPu2b1wGdQRA1b4mEsAO4y2gFIcC4sigZngJpBifbnUESJBjcNmKPNDew
McjyjTGp8Z0Z5UTNZqoeKuqR/z+n5P81TkkcpbNX5ONVz/GzjmTfudNTqCCUaBPzPOAgHTdYh7Yz
Fsy+ZPepvBMbXAmF3UqGNGFUJzxw2O0NAuYk8SsLG21IRBbkdaStW6NZV4bj2fExAcXem28Z+xDZ
vJFmN70YmYnR4ZzaN5z8wehMcnQwqBXOMixLtvim9rcjSAFbQ/esUs8hFh/aDAOdflsnLFmx2rgo
QZrWrPEWXvIu4wwGRZ5NLLPNUxjdZYB3C3SiMEx2orxvKvFQj+ohib/PkTwgsdkM121NVBEGdF9i
u+dv1YalZwBlSa3BN9mj4PBp42sKRqg5F76oVc+y402fhDey0dOMP1t2TezHg2RcAy7wQr6rDOvX
SdJ4ZvVk4C4yAEFYpCD4LX6M68jCozGmJrJyv+6q+DTjSiowxFPSxoUv/kzNeaNOcHGIeaXRdqBF
KknFlc2aJ3PuiY1sRiP/HAt7g4NrTfPsw4DrqZ+UjyUbkHyRrUhaWsqLYry3JmSEeF/orZ/aWxMY
dDXrW1rpLgJhc9AqOqJzHjlUMarvuZi20ESFEIeFJjx9tq8yjTAk8rCTsMRAQgnZP6sZSB+cWjSK
UA5SAxN6TULhx+x3MrBCjeh3+cxPrI9u5vGJFo8btWXHVDTbniVEB6u/0L+DE9qobbCx2DctYc3d
r6N7MM+vFVTZemm8fBSHTH2vytd0CTC7h/syuqSpeQxqVoLLTcqNNRN0gjrLtatFR9FEhGuzk2KS
gGyNZydV7+bB8dMi2DtOf9OCfsD+6E1Uc1RxsLYsUB/FS9EHoBUyj6aNldY3PhTDfYA9XeJNqcpi
tV+BNC82RRL5atzuozygFtJZSwL8AD48jrpTFJqP4WCsxWisnFZh+jgZYtqndIqa7sE0W0Cjmyxv
n/PBkLczr7UvE/EKvRnXqlVvWHBSG1PtQ8pH7JCsSUDjJWTXjklrmDZujNAXrRfzOQ16BiyDLHSw
w04EWXc8FNUEEF/np1BvHPtCcenDwg+NH96mQmqr7PIGBsJhgNHaWaesw+uMT6EsZkT+npc6LzBe
3Iqd7ZNwN1TutUODSuS+hQo7Gryb7JhYbdya1XnMGz8JYqIPnBJpcMTLxJXMXjX5cM64IONf32ak
36aw8royZK2Re3mPsIHjXE9JvZe3rAT9vpnPEfbAcDQ8YCnwh0ipAGLsy2NHCkIh5auUV44W3+G6
4mX9KYJ6k4ApSUZwQIKm4o7FDnCjJsLO08/4MClCCrIdhTObPCRFRYYiISOZTNNdjjV1meZNVTDQ
O3hWmOvAC7GEYsNm9js7AKdMa00T7Y1C9Ttowm3Toce2Nz3BfIvsC6xdeILsFBWr5m6fYC9y3v/n
D0e/DAuYozWmahDa/OtfDUnXZfP37vC//Fg/j0wuiTrdQFIwHeS231ziBuocNCHwDyqMb4wXP0wZ
2j+EKhEQAIBUW6UlDNf5D1MGmDaNtKq0nWPXUI1/D9MGvPsPMxOZPxznYNoIF5oqTCQTTtLPM1OO
AlQl6XhP+USzieVzlKJcAlwwx7xQK028wOz7K4MCiyZVcZ/NhcObKAZL1cfdo0bTcy7ArSVpTawM
jNi2sZpT3uflIYZkz1tM7vJlaaEhN/qu2QDzGbneLVXzvsBLqyzAaVostK0p+WoToDUKyBZEeYX/
AslmaJniFw55vP+i7ty607aCKPxf+i5X1yOpq82DDdhOGl8aOyvNixZ1iJBAAt0A8ev7jcAOAoeF
464VqjcjGekMR3POzOzZ2xXetqkPNNYHOZ4NFX3BuZadh0vkpPwACsNIJKbCCrEpJbJTiQhQBSZS
VBY1VYqDyFMZIlQ1BiYJOT61/anIWE3Rs6I4PeNtsZG4ErErW2SvfG9+y+2vExHEmuVIY0WNSlYZ
w1tUF/E1jFD0GcG6SqN5MdT+MkViq6w06z6BVq27EAEuFQbX+cQZd4JGnEuJTJdRflYqfT9RRXm2
sEtoomVrEdTOrRZq7wuR+5omCH+FORJgoa5d6lp6D2vpZ8dJPtaJda4FdDkX9JWe5mpCQxpIBldk
xWJSoXCp2fiaRA1xwNGHSnnV+XyxsIClzJ0ujWIhxkfvJCi85WmhDZOzeIjGgF+5MwQ9zLRnAwaw
MtqTAXIsLfvCXgReTx+TRfGMOvvHAODcq4b0QacgH6/gZDUI/aGmVOi6V0OQaralIQ7ozN459Sg6
G+HoT5dqyrBptlzoeT+1l/fBxzzvhNa75WzWU18zv0vOJC/hVIp7fs9+G74d10F15RUxidJ5R1OQ
EY2iDJEot+hMA+chVsmNH0+jjjujr71IoKtMlhUNY0V0b6vF3SgtLuLczk4nkOoGiU0P2XxWn7mp
ute0YnqmazPrLEd8qlPrPqxLJfCKxcJl0wXFwpWZpqP3ujdJaWoIsm7iWCKyUKDKYA9v0jwfX4SI
2XZVML/woOu6jfPU+GSAsyS/Zc7/jCyShkUO7+8oyLueBdSl1tGtUV9NM/R7/kjAQiZMDNkM2ATU
UGlskwwrkVKOkKvC7/uoWY8fUBRyKeeg5eFWl1GO5BdgbwqjesXaaASfigiJGYWo4ylixepdZrrn
SZXV7NaUVzpdaxhPUCd3rS7ZB5qCJPuhE/S4hf4xNw0Y2iHggmnWvEag687I/V5SE1Iv/HNPcioT
ya6URnHBNiGCw3CKIL3tNnYezCQrQ1UN5gVEP2UrNpbMDT0Dt6mLLJktWZ2E9E4peR6ICPXLLJ1f
DtPsTvjNTckJDSU7BGyz6CjJGLlwlY9pbAMiBDw6w+04ApgWUvJUINSwZcEL6dErX3vZZ1+A1jWc
4/S3JHS8A2JpmMbHAsx+YhiPBbRdJkVBNa1NLQ4StTp/pBVHzw/F+RFg8IZPfAo+vOESH8W5RQck
4HHXjaB4EEB5JdByBcYcqLuShv8FjIFD47QlgJAISL3W2BppFXty2AkTQFX5nbEM2XIIvH0hQPfS
Dj74IN/zpLovSe0iT2hdmaF7NRSQvBargUkyMmvg82H5twOevgBXD0lg2jmeRfzXh8Vv4WDS6Zf9
btOXdVsNSNAPCkg3ize/fzt7MwEcdSc6iWQjXnrR/i9ad4Td1dPBH7/0vyR0vkYFRa2HEsqm54CV
291izbM1z7T3q8Z9nr36wk0084Sing3XOYs+RI8sAs3n6H1AL66Q+uBzCo8b1vne+PcPbWXI/dfs
feZnhi/ax62i6I8MH4pZU5EQYicjB+mathksUkY+SFCQqRyrMuxRWsPeLhG/3BrS+edTxPSZbm0r
gL2FIhdbHb0V2Du+ck4YJzZwYhdDrEYrP3rbGoqufMfVrZ9rjYdJlZbiosJokm76B1OHaPkQI2x9
w4ZbYAePV1D0pbTGLg2lyrYt5Pl+7tgPcY7bGeUfeR/4naHFk7bU9gxAuYiyjkeI0xzH6yMdXuVD
psK2QVtzQdkuKH5/xwoEDohUribbcfrE/2KFsKFJBwujr3/rnRUCLIL7v1ghhMT39XOBgB/Y0Ho9
3PWNUAv7zBXJDMhxvG+GvU3S/HL/YJ4YwC+gQ1qvi1vWEG/pwbqJVsvxmkFIp185KcwTB1ImJc7g
aVVou0sYZ4UpGiKC5jg6a6yyY/vkEF4+OVhCga7prlQAN6zBpMBONpXElWc+Sr8p0cArJ4UMX2Y+
rmJ9tMxAgOGabC8c+u2a44h31juNby+fDLwijuwp4VVbHe1JgTUoMrPd8h5XmcNfkQMm0FP8ejaM
xl+ayJWq2XOx6/cueAzcds9vxKWy72xdKIHs6t6r6E3+ftPaaTSB5cbJx0Czuc/639cD3L11616P
o3r88CIa5H2g3HVzol4/5lU/Ieo9HC/bBPnPxOMbr8e+G304nLDllXc6CCHxynt0+wfAjHUCsG8/
6FYa40Cz/UAlY+/QnptBTzmN3Xn1mKt47t/aL41c8TAe9PM3/wIAAP//</cx:binary>
              </cx:geoCache>
            </cx:geography>
          </cx:layoutPr>
        </cx:series>
      </cx:plotAreaRegion>
    </cx:plotArea>
    <cx:legend pos="l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" lastClr="FFFFFF">
                <a:lumMod val="9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1200149</xdr:colOff>
      <xdr:row>25</xdr:row>
      <xdr:rowOff>133351</xdr:rowOff>
    </xdr:from>
    <xdr:to>
      <xdr:col>27</xdr:col>
      <xdr:colOff>104775</xdr:colOff>
      <xdr:row>57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252837-F214-78AC-9CD4-D2FA5E262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542925</xdr:colOff>
      <xdr:row>65</xdr:row>
      <xdr:rowOff>41275</xdr:rowOff>
    </xdr:from>
    <xdr:to>
      <xdr:col>32</xdr:col>
      <xdr:colOff>352425</xdr:colOff>
      <xdr:row>80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7B0FB9-4343-4400-A9AF-BE432CB70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400051</xdr:colOff>
      <xdr:row>24</xdr:row>
      <xdr:rowOff>142875</xdr:rowOff>
    </xdr:from>
    <xdr:to>
      <xdr:col>18</xdr:col>
      <xdr:colOff>571500</xdr:colOff>
      <xdr:row>65</xdr:row>
      <xdr:rowOff>85725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5D68789-F411-4472-11E2-26AFB9E1B8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051" y="1095375"/>
              <a:ext cx="12401549" cy="7753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142876</xdr:colOff>
      <xdr:row>24</xdr:row>
      <xdr:rowOff>104775</xdr:rowOff>
    </xdr:from>
    <xdr:to>
      <xdr:col>18</xdr:col>
      <xdr:colOff>314325</xdr:colOff>
      <xdr:row>65</xdr:row>
      <xdr:rowOff>47625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224CE5A-5384-4AF9-AC6D-46075FD175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6" y="4676775"/>
              <a:ext cx="12401549" cy="7753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24</xdr:row>
      <xdr:rowOff>76200</xdr:rowOff>
    </xdr:from>
    <xdr:to>
      <xdr:col>15</xdr:col>
      <xdr:colOff>9525</xdr:colOff>
      <xdr:row>65</xdr:row>
      <xdr:rowOff>19050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362CC3F-0D16-44D3-AE7F-B88F951C6E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1" y="4648200"/>
              <a:ext cx="10220324" cy="7753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542926</xdr:colOff>
      <xdr:row>4</xdr:row>
      <xdr:rowOff>57150</xdr:rowOff>
    </xdr:from>
    <xdr:to>
      <xdr:col>27</xdr:col>
      <xdr:colOff>419100</xdr:colOff>
      <xdr:row>45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23E43A6-05B6-465D-A681-BA5088EEB5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1301" y="819150"/>
              <a:ext cx="12049124" cy="7753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273050</xdr:colOff>
      <xdr:row>0</xdr:row>
      <xdr:rowOff>0</xdr:rowOff>
    </xdr:from>
    <xdr:to>
      <xdr:col>19</xdr:col>
      <xdr:colOff>444500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A04FC-FC4A-4A18-9858-4FB532E49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C7613F-3B2C-4167-89EE-CF6CC5362C90}" name="Table1" displayName="Table1" ref="A1:X23" totalsRowShown="0">
  <tableColumns count="24">
    <tableColumn id="1" xr3:uid="{23352364-8A4D-412D-8E95-1B7609740544}" name="District_or_Category"/>
    <tableColumn id="2" xr3:uid="{5656E243-A5D1-47FA-BD2C-CAB4543A5FC4}" name="2003"/>
    <tableColumn id="3" xr3:uid="{57AB72C5-D806-4305-9932-FE9EAEE737BC}" name="2004"/>
    <tableColumn id="4" xr3:uid="{F76D15D2-7023-4728-BBED-7F7B2FB6E8D0}" name="2005"/>
    <tableColumn id="5" xr3:uid="{447BA866-0ACE-4358-A1F8-2773067DF327}" name="2006"/>
    <tableColumn id="6" xr3:uid="{77A85CA1-8D15-4B1B-80B2-B6AEAC4A5DD7}" name="2007"/>
    <tableColumn id="7" xr3:uid="{1892EE41-7A20-4080-B5D0-A7C04EFFA1AF}" name="2008"/>
    <tableColumn id="8" xr3:uid="{15AE90F1-1677-481D-B33B-C93C951D4654}" name="2009"/>
    <tableColumn id="9" xr3:uid="{8C047E59-E44F-436D-9071-8F9D5F95F1BB}" name="2010"/>
    <tableColumn id="10" xr3:uid="{8D677FDE-94C8-40B8-A63A-FA528FEDC58B}" name="2011"/>
    <tableColumn id="11" xr3:uid="{EDAEDA45-CE00-42FF-B7BC-B7F2116B18CD}" name="2012"/>
    <tableColumn id="12" xr3:uid="{D945F6E6-3A02-4F1D-BCB8-19795F7ED9A6}" name="2013"/>
    <tableColumn id="13" xr3:uid="{1ED40966-5ECC-4E12-ABD8-1363634D2276}" name="2014"/>
    <tableColumn id="14" xr3:uid="{7DB75997-2637-45AE-91D0-EBC0A2087EE6}" name="2015"/>
    <tableColumn id="15" xr3:uid="{9C384410-7AF4-4604-8E53-C254E99291A7}" name="2016"/>
    <tableColumn id="16" xr3:uid="{01BE29B1-E312-4F0E-91E1-567560C53CFA}" name="2017"/>
    <tableColumn id="17" xr3:uid="{A4D9D507-F1C4-482F-BE18-CDE622A4B735}" name="2018"/>
    <tableColumn id="18" xr3:uid="{9E57FA8D-8B35-44FE-A69E-AA44C83FAE74}" name="2019"/>
    <tableColumn id="19" xr3:uid="{8F9A845E-60AA-4A4D-B3D2-694C8F4D4444}" name="2020"/>
    <tableColumn id="20" xr3:uid="{AE4732D8-4A28-4168-9D7A-C8BCB1EE86CA}" name="2021"/>
    <tableColumn id="21" xr3:uid="{7FD359D3-5958-4590-83C6-2407B3118340}" name="2022"/>
    <tableColumn id="22" xr3:uid="{99602438-00DB-4C23-886A-54B055A1F69C}" name="2023"/>
    <tableColumn id="23" xr3:uid="{98803B3B-5199-4383-B436-14F69CA7B349}" name="2024"/>
    <tableColumn id="24" xr3:uid="{CABB8C20-CD30-45CD-A049-6A449F512D56}" name="2025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4F10-B375-4551-B5B2-EDF65ACF7086}">
  <sheetPr codeName="Sheet1"/>
  <dimension ref="A1:Z84"/>
  <sheetViews>
    <sheetView workbookViewId="0">
      <selection activeCell="M23" sqref="M23:X23"/>
    </sheetView>
  </sheetViews>
  <sheetFormatPr defaultRowHeight="15" x14ac:dyDescent="0.25"/>
  <cols>
    <col min="1" max="1" width="33.5703125" customWidth="1"/>
    <col min="2" max="2" width="17.140625" customWidth="1"/>
    <col min="3" max="3" width="12" customWidth="1"/>
    <col min="4" max="4" width="14.85546875" customWidth="1"/>
    <col min="5" max="9" width="11" customWidth="1"/>
    <col min="10" max="23" width="12" customWidth="1"/>
    <col min="24" max="24" width="14.85546875" customWidth="1"/>
    <col min="26" max="26" width="11.42578125" customWidth="1"/>
  </cols>
  <sheetData>
    <row r="1" spans="1:26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Z1" t="s">
        <v>47</v>
      </c>
    </row>
    <row r="2" spans="1:26" x14ac:dyDescent="0.25">
      <c r="A2" t="s">
        <v>1</v>
      </c>
      <c r="B2">
        <v>1.69</v>
      </c>
      <c r="C2">
        <v>1.38</v>
      </c>
      <c r="D2">
        <v>1.32</v>
      </c>
      <c r="E2">
        <v>1.54</v>
      </c>
      <c r="F2">
        <v>1.41</v>
      </c>
      <c r="G2">
        <v>1.65</v>
      </c>
      <c r="H2">
        <v>1.71</v>
      </c>
      <c r="I2">
        <v>1.72</v>
      </c>
      <c r="J2">
        <v>1.5</v>
      </c>
      <c r="K2">
        <v>1.42</v>
      </c>
      <c r="L2">
        <v>1.63</v>
      </c>
      <c r="M2">
        <v>1.73</v>
      </c>
      <c r="N2">
        <v>1.58</v>
      </c>
      <c r="O2">
        <v>1.45</v>
      </c>
      <c r="P2">
        <v>1.5</v>
      </c>
      <c r="Q2">
        <v>1.55</v>
      </c>
      <c r="R2">
        <v>1.62</v>
      </c>
      <c r="S2">
        <v>1.19</v>
      </c>
      <c r="T2">
        <v>1.34</v>
      </c>
      <c r="U2">
        <v>1.2</v>
      </c>
      <c r="V2">
        <v>1.37</v>
      </c>
      <c r="W2">
        <v>1.24</v>
      </c>
      <c r="X2">
        <v>1.1100000000000001</v>
      </c>
      <c r="Z2" s="12">
        <f>AVERAGE(Table1[[#This Row],[2003]:[2025]])</f>
        <v>1.4717391304347827</v>
      </c>
    </row>
    <row r="3" spans="1:26" x14ac:dyDescent="0.25">
      <c r="A3" t="s">
        <v>2</v>
      </c>
      <c r="B3">
        <v>1.5</v>
      </c>
      <c r="C3">
        <v>1.43</v>
      </c>
      <c r="D3">
        <v>1.27</v>
      </c>
      <c r="E3">
        <v>1.44</v>
      </c>
      <c r="F3">
        <v>1.2</v>
      </c>
      <c r="G3">
        <v>1.44</v>
      </c>
      <c r="H3">
        <v>1.75</v>
      </c>
      <c r="I3">
        <v>1.68</v>
      </c>
      <c r="J3">
        <v>1.5</v>
      </c>
      <c r="K3">
        <v>1.53</v>
      </c>
      <c r="L3">
        <v>1.69</v>
      </c>
      <c r="M3">
        <v>1.73</v>
      </c>
      <c r="N3">
        <v>1.57</v>
      </c>
      <c r="O3">
        <v>1.44</v>
      </c>
      <c r="P3">
        <v>1.72</v>
      </c>
      <c r="Q3">
        <v>1.63</v>
      </c>
      <c r="R3">
        <v>1.51</v>
      </c>
      <c r="S3">
        <v>1.3</v>
      </c>
      <c r="T3">
        <v>1.34</v>
      </c>
      <c r="U3">
        <v>1.22</v>
      </c>
      <c r="V3">
        <v>1.48</v>
      </c>
      <c r="W3">
        <v>1.03</v>
      </c>
      <c r="X3">
        <v>1.1100000000000001</v>
      </c>
      <c r="Z3" s="12">
        <f>AVERAGE(Table1[[#This Row],[2003]:[2025]])</f>
        <v>1.4569565217391303</v>
      </c>
    </row>
    <row r="4" spans="1:26" x14ac:dyDescent="0.25">
      <c r="A4" t="s">
        <v>3</v>
      </c>
      <c r="B4">
        <v>1.41</v>
      </c>
      <c r="C4">
        <v>1.4</v>
      </c>
      <c r="D4">
        <v>1.27</v>
      </c>
      <c r="E4">
        <v>1.58</v>
      </c>
      <c r="F4">
        <v>1.18</v>
      </c>
      <c r="G4">
        <v>1.49</v>
      </c>
      <c r="H4">
        <v>1.57</v>
      </c>
      <c r="I4">
        <v>1.5</v>
      </c>
      <c r="J4">
        <v>1.65</v>
      </c>
      <c r="K4">
        <v>1.3</v>
      </c>
      <c r="L4">
        <v>1.7</v>
      </c>
      <c r="M4">
        <v>1.48</v>
      </c>
      <c r="N4">
        <v>1.68</v>
      </c>
      <c r="O4">
        <v>1.36</v>
      </c>
      <c r="P4">
        <v>1.68</v>
      </c>
      <c r="Q4">
        <v>1.42</v>
      </c>
      <c r="R4">
        <v>1.64</v>
      </c>
      <c r="S4">
        <v>1.26</v>
      </c>
      <c r="T4">
        <v>1.52</v>
      </c>
      <c r="U4">
        <v>1.18</v>
      </c>
      <c r="V4">
        <v>1.45</v>
      </c>
      <c r="W4">
        <v>1.1100000000000001</v>
      </c>
      <c r="X4">
        <v>1.1299999999999999</v>
      </c>
      <c r="Z4" s="12">
        <f>AVERAGE(Table1[[#This Row],[2003]:[2025]])</f>
        <v>1.4330434782608696</v>
      </c>
    </row>
    <row r="5" spans="1:26" x14ac:dyDescent="0.25">
      <c r="A5" t="s">
        <v>4</v>
      </c>
      <c r="B5">
        <v>1.54</v>
      </c>
      <c r="C5">
        <v>1.43</v>
      </c>
      <c r="D5">
        <v>1.22</v>
      </c>
      <c r="E5">
        <v>1.79</v>
      </c>
      <c r="F5">
        <v>1.21</v>
      </c>
      <c r="G5">
        <v>1.47</v>
      </c>
      <c r="H5">
        <v>1.46</v>
      </c>
      <c r="I5">
        <v>1.56</v>
      </c>
      <c r="J5">
        <v>1.69</v>
      </c>
      <c r="K5">
        <v>1.38</v>
      </c>
      <c r="L5">
        <v>1.74</v>
      </c>
      <c r="M5">
        <v>1.75</v>
      </c>
      <c r="N5">
        <v>1.6</v>
      </c>
      <c r="O5">
        <v>1.35</v>
      </c>
      <c r="P5">
        <v>1.55</v>
      </c>
      <c r="Q5">
        <v>1.58</v>
      </c>
      <c r="R5">
        <v>1.39</v>
      </c>
      <c r="S5">
        <v>1.28</v>
      </c>
      <c r="T5">
        <v>1.45</v>
      </c>
      <c r="U5">
        <v>1.29</v>
      </c>
      <c r="V5">
        <v>1.3</v>
      </c>
      <c r="W5">
        <v>1.1200000000000001</v>
      </c>
      <c r="X5">
        <v>1.23</v>
      </c>
      <c r="Z5" s="12">
        <f>AVERAGE(Table1[[#This Row],[2003]:[2025]])</f>
        <v>1.4513043478260867</v>
      </c>
    </row>
    <row r="6" spans="1:26" x14ac:dyDescent="0.25">
      <c r="A6" t="s">
        <v>5</v>
      </c>
      <c r="B6">
        <v>1.35</v>
      </c>
      <c r="C6">
        <v>1.57</v>
      </c>
      <c r="D6">
        <v>1.34</v>
      </c>
      <c r="E6">
        <v>1.26</v>
      </c>
      <c r="F6">
        <v>1.28</v>
      </c>
      <c r="G6">
        <v>1.54</v>
      </c>
      <c r="H6">
        <v>1.74</v>
      </c>
      <c r="I6">
        <v>1.56</v>
      </c>
      <c r="J6">
        <v>1.79</v>
      </c>
      <c r="K6">
        <v>1.31</v>
      </c>
      <c r="L6">
        <v>1.63</v>
      </c>
      <c r="M6">
        <v>1.81</v>
      </c>
      <c r="N6">
        <v>1.7</v>
      </c>
      <c r="O6">
        <v>1.39</v>
      </c>
      <c r="P6">
        <v>1.52</v>
      </c>
      <c r="Q6">
        <v>1.57</v>
      </c>
      <c r="R6">
        <v>1.48</v>
      </c>
      <c r="S6">
        <v>1.39</v>
      </c>
      <c r="T6">
        <v>1.4</v>
      </c>
      <c r="U6">
        <v>1.08</v>
      </c>
      <c r="V6">
        <v>1.49</v>
      </c>
      <c r="W6">
        <v>1.08</v>
      </c>
      <c r="X6">
        <v>1.04</v>
      </c>
      <c r="Z6" s="12">
        <f>AVERAGE(Table1[[#This Row],[2003]:[2025]])</f>
        <v>1.4486956521739132</v>
      </c>
    </row>
    <row r="7" spans="1:26" x14ac:dyDescent="0.25">
      <c r="A7" t="s">
        <v>6</v>
      </c>
      <c r="B7">
        <v>1.39</v>
      </c>
      <c r="C7">
        <v>1.53</v>
      </c>
      <c r="D7">
        <v>1.36</v>
      </c>
      <c r="E7">
        <v>1.5</v>
      </c>
      <c r="F7">
        <v>1.4</v>
      </c>
      <c r="G7">
        <v>1.55</v>
      </c>
      <c r="H7">
        <v>1.63</v>
      </c>
      <c r="I7">
        <v>1.81</v>
      </c>
      <c r="J7">
        <v>1.59</v>
      </c>
      <c r="K7">
        <v>1.38</v>
      </c>
      <c r="L7">
        <v>1.54</v>
      </c>
      <c r="M7">
        <v>1.71</v>
      </c>
      <c r="N7">
        <v>1.74</v>
      </c>
      <c r="O7">
        <v>1.31</v>
      </c>
      <c r="P7">
        <v>1.57</v>
      </c>
      <c r="Q7">
        <v>1.46</v>
      </c>
      <c r="R7">
        <v>1.57</v>
      </c>
      <c r="S7">
        <v>1.36</v>
      </c>
      <c r="T7">
        <v>1.44</v>
      </c>
      <c r="U7">
        <v>1.1599999999999999</v>
      </c>
      <c r="V7">
        <v>1.36</v>
      </c>
      <c r="W7">
        <v>1.1200000000000001</v>
      </c>
      <c r="X7">
        <v>0.97</v>
      </c>
      <c r="Z7" s="12">
        <f>AVERAGE(Table1[[#This Row],[2003]:[2025]])</f>
        <v>1.4543478260869562</v>
      </c>
    </row>
    <row r="8" spans="1:26" x14ac:dyDescent="0.25">
      <c r="A8" t="s">
        <v>7</v>
      </c>
      <c r="B8">
        <v>1.51</v>
      </c>
      <c r="C8">
        <v>1.73</v>
      </c>
      <c r="D8">
        <v>1.33</v>
      </c>
      <c r="E8">
        <v>1.61</v>
      </c>
      <c r="F8">
        <v>1.29</v>
      </c>
      <c r="G8">
        <v>1.61</v>
      </c>
      <c r="H8">
        <v>1.47</v>
      </c>
      <c r="I8">
        <v>1.38</v>
      </c>
      <c r="J8">
        <v>1.61</v>
      </c>
      <c r="K8">
        <v>1.45</v>
      </c>
      <c r="L8">
        <v>1.71</v>
      </c>
      <c r="M8">
        <v>1.65</v>
      </c>
      <c r="N8">
        <v>1.84</v>
      </c>
      <c r="O8">
        <v>1.37</v>
      </c>
      <c r="P8">
        <v>1.59</v>
      </c>
      <c r="Q8">
        <v>1.48</v>
      </c>
      <c r="R8">
        <v>1.54</v>
      </c>
      <c r="S8">
        <v>1.25</v>
      </c>
      <c r="T8">
        <v>1.34</v>
      </c>
      <c r="U8">
        <v>1.33</v>
      </c>
      <c r="V8">
        <v>1.38</v>
      </c>
      <c r="W8">
        <v>1.1100000000000001</v>
      </c>
      <c r="X8">
        <v>1.05</v>
      </c>
      <c r="Z8" s="12">
        <f>AVERAGE(Table1[[#This Row],[2003]:[2025]])</f>
        <v>1.4621739130434781</v>
      </c>
    </row>
    <row r="9" spans="1:26" x14ac:dyDescent="0.25">
      <c r="A9" s="13" t="s">
        <v>8</v>
      </c>
      <c r="B9" s="13">
        <v>0.76</v>
      </c>
      <c r="C9" s="13">
        <v>0.7</v>
      </c>
      <c r="D9" s="13">
        <v>0.51</v>
      </c>
      <c r="E9" s="13">
        <v>0.87</v>
      </c>
      <c r="F9" s="13">
        <v>0.41</v>
      </c>
      <c r="G9" s="13">
        <v>0.66</v>
      </c>
      <c r="H9" s="13">
        <v>0.84</v>
      </c>
      <c r="I9" s="13">
        <v>0.69</v>
      </c>
      <c r="J9" s="13">
        <v>0.95</v>
      </c>
      <c r="K9" s="13">
        <v>0.31</v>
      </c>
      <c r="L9" s="13">
        <v>0.68</v>
      </c>
      <c r="M9" s="14">
        <v>0.95</v>
      </c>
      <c r="N9" s="13">
        <v>0.66</v>
      </c>
      <c r="O9" s="13">
        <v>0.28000000000000003</v>
      </c>
      <c r="P9" s="13">
        <v>0.83</v>
      </c>
      <c r="Q9" s="13">
        <v>0.62</v>
      </c>
      <c r="R9" s="13">
        <v>0.68</v>
      </c>
      <c r="S9" s="14">
        <v>0.41</v>
      </c>
      <c r="T9" s="13">
        <v>1.03</v>
      </c>
      <c r="U9" s="13">
        <v>0.67</v>
      </c>
      <c r="V9" s="13">
        <v>0.59</v>
      </c>
      <c r="W9" s="13">
        <v>0.4</v>
      </c>
      <c r="X9" s="13">
        <v>0.39</v>
      </c>
      <c r="Z9" s="12">
        <f>AVERAGE(Table1[[#This Row],[2003]:[2025]])</f>
        <v>0.64739130434782599</v>
      </c>
    </row>
    <row r="10" spans="1:26" x14ac:dyDescent="0.25">
      <c r="A10" s="13" t="s">
        <v>9</v>
      </c>
      <c r="B10" s="13">
        <v>1.38</v>
      </c>
      <c r="C10" s="13">
        <v>0.56000000000000005</v>
      </c>
      <c r="D10" s="13">
        <v>0.45</v>
      </c>
      <c r="E10" s="13">
        <v>0.97</v>
      </c>
      <c r="F10" s="13">
        <v>0.6</v>
      </c>
      <c r="G10" s="13">
        <v>1.07</v>
      </c>
      <c r="H10" s="13">
        <v>0.91</v>
      </c>
      <c r="I10" s="13">
        <v>1.26</v>
      </c>
      <c r="J10" s="13">
        <v>0.85</v>
      </c>
      <c r="K10" s="13">
        <v>0.74</v>
      </c>
      <c r="L10" s="13">
        <v>1.58</v>
      </c>
      <c r="M10" s="14">
        <v>0.92</v>
      </c>
      <c r="N10" s="13">
        <v>0.67</v>
      </c>
      <c r="O10" s="13">
        <v>0.62</v>
      </c>
      <c r="P10" s="13">
        <v>0.97</v>
      </c>
      <c r="Q10" s="13">
        <v>0.93</v>
      </c>
      <c r="R10" s="13">
        <v>0.97</v>
      </c>
      <c r="S10" s="14">
        <v>0.4</v>
      </c>
      <c r="T10" s="13">
        <v>0.82</v>
      </c>
      <c r="U10" s="13">
        <v>0.34</v>
      </c>
      <c r="V10" s="13">
        <v>0.5</v>
      </c>
      <c r="W10" s="13">
        <v>0.31</v>
      </c>
      <c r="X10" s="13">
        <v>0.34</v>
      </c>
      <c r="Z10" s="12">
        <f>AVERAGE(Table1[[#This Row],[2003]:[2025]])</f>
        <v>0.78956521739130436</v>
      </c>
    </row>
    <row r="11" spans="1:26" x14ac:dyDescent="0.25">
      <c r="A11" s="13" t="s">
        <v>10</v>
      </c>
      <c r="B11" s="13">
        <v>0.85</v>
      </c>
      <c r="C11" s="13">
        <v>1.1499999999999999</v>
      </c>
      <c r="D11" s="13">
        <v>0.23</v>
      </c>
      <c r="E11" s="13">
        <v>0.83</v>
      </c>
      <c r="F11" s="13">
        <v>0.38</v>
      </c>
      <c r="G11" s="13">
        <v>1.0900000000000001</v>
      </c>
      <c r="H11" s="13">
        <v>0.55000000000000004</v>
      </c>
      <c r="I11" s="13">
        <v>1.01</v>
      </c>
      <c r="J11" s="13">
        <v>1.17</v>
      </c>
      <c r="K11" s="13">
        <v>0.28000000000000003</v>
      </c>
      <c r="L11" s="13">
        <v>0.98</v>
      </c>
      <c r="M11" s="14">
        <v>1.39</v>
      </c>
      <c r="N11" s="13">
        <v>1.18</v>
      </c>
      <c r="O11" s="13">
        <v>0.43</v>
      </c>
      <c r="P11" s="13">
        <v>0.78</v>
      </c>
      <c r="Q11" s="13">
        <v>0.9</v>
      </c>
      <c r="R11" s="13">
        <v>0.89</v>
      </c>
      <c r="S11" s="14">
        <v>0.34</v>
      </c>
      <c r="T11" s="13">
        <v>0.86</v>
      </c>
      <c r="U11" s="13">
        <v>0.33</v>
      </c>
      <c r="V11" s="13">
        <v>0.89</v>
      </c>
      <c r="W11" s="13">
        <v>0.4</v>
      </c>
      <c r="X11" s="13">
        <v>0.34</v>
      </c>
      <c r="Z11" s="12">
        <f>AVERAGE(Table1[[#This Row],[2003]:[2025]])</f>
        <v>0.74999999999999989</v>
      </c>
    </row>
    <row r="12" spans="1:26" x14ac:dyDescent="0.25">
      <c r="A12" s="13" t="s">
        <v>11</v>
      </c>
      <c r="B12" s="13">
        <v>0.89</v>
      </c>
      <c r="C12" s="13">
        <v>0.67</v>
      </c>
      <c r="D12" s="13">
        <v>0.48</v>
      </c>
      <c r="E12" s="13">
        <v>0.7</v>
      </c>
      <c r="F12" s="13">
        <v>0.37</v>
      </c>
      <c r="G12" s="13">
        <v>1.26</v>
      </c>
      <c r="H12" s="13">
        <v>0.46</v>
      </c>
      <c r="I12" s="13">
        <v>0.65</v>
      </c>
      <c r="J12" s="13">
        <v>0.56999999999999995</v>
      </c>
      <c r="K12" s="13">
        <v>0.51</v>
      </c>
      <c r="L12" s="13">
        <v>1.41</v>
      </c>
      <c r="M12" s="14">
        <v>1.29</v>
      </c>
      <c r="N12" s="13">
        <v>1.04</v>
      </c>
      <c r="O12" s="13">
        <v>0.42</v>
      </c>
      <c r="P12" s="13">
        <v>0.45</v>
      </c>
      <c r="Q12" s="13">
        <v>0.67</v>
      </c>
      <c r="R12" s="13">
        <v>1.1200000000000001</v>
      </c>
      <c r="S12" s="14">
        <v>0.48</v>
      </c>
      <c r="T12" s="13">
        <v>0.89</v>
      </c>
      <c r="U12" s="13">
        <v>0.54</v>
      </c>
      <c r="V12" s="13">
        <v>1.03</v>
      </c>
      <c r="W12" s="13">
        <v>0.38</v>
      </c>
      <c r="X12" s="13">
        <v>0.38</v>
      </c>
      <c r="Z12" s="12">
        <f>AVERAGE(Table1[[#This Row],[2003]:[2025]])</f>
        <v>0.72434782608695658</v>
      </c>
    </row>
    <row r="13" spans="1:26" x14ac:dyDescent="0.25">
      <c r="A13" s="13" t="s">
        <v>12</v>
      </c>
      <c r="B13" s="13">
        <v>0.52</v>
      </c>
      <c r="C13" s="13">
        <v>0.92</v>
      </c>
      <c r="D13" s="13">
        <v>0.43</v>
      </c>
      <c r="E13" s="13">
        <v>0.8</v>
      </c>
      <c r="F13" s="13">
        <v>0.41</v>
      </c>
      <c r="G13" s="13">
        <v>1</v>
      </c>
      <c r="H13" s="13">
        <v>1.37</v>
      </c>
      <c r="I13" s="13">
        <v>1.1399999999999999</v>
      </c>
      <c r="J13" s="13">
        <v>1.0900000000000001</v>
      </c>
      <c r="K13" s="13">
        <v>0.4</v>
      </c>
      <c r="L13" s="13">
        <v>0.56000000000000005</v>
      </c>
      <c r="M13" s="14">
        <v>1.41</v>
      </c>
      <c r="N13" s="13">
        <v>0.97</v>
      </c>
      <c r="O13" s="13">
        <v>0.51</v>
      </c>
      <c r="P13" s="13">
        <v>1</v>
      </c>
      <c r="Q13" s="13">
        <v>1.0900000000000001</v>
      </c>
      <c r="R13" s="13">
        <v>1.18</v>
      </c>
      <c r="S13" s="14">
        <v>0.28000000000000003</v>
      </c>
      <c r="T13" s="13">
        <v>0.61</v>
      </c>
      <c r="U13" s="13">
        <v>0.46</v>
      </c>
      <c r="V13" s="13">
        <v>0.72</v>
      </c>
      <c r="W13" s="13">
        <v>0.28000000000000003</v>
      </c>
      <c r="X13" s="13">
        <v>0.38</v>
      </c>
      <c r="Z13" s="12">
        <f>AVERAGE(Table1[[#This Row],[2003]:[2025]])</f>
        <v>0.76217391304347815</v>
      </c>
    </row>
    <row r="14" spans="1:26" x14ac:dyDescent="0.25">
      <c r="A14" s="13" t="s">
        <v>13</v>
      </c>
      <c r="B14" s="13">
        <v>0.63</v>
      </c>
      <c r="C14" s="13">
        <v>1.04</v>
      </c>
      <c r="D14" s="13">
        <v>0.4</v>
      </c>
      <c r="E14" s="13">
        <v>1</v>
      </c>
      <c r="F14" s="13">
        <v>0.26</v>
      </c>
      <c r="G14" s="13">
        <v>0.65</v>
      </c>
      <c r="H14" s="13">
        <v>1.01</v>
      </c>
      <c r="I14" s="13">
        <v>0.68</v>
      </c>
      <c r="J14" s="13">
        <v>0.95</v>
      </c>
      <c r="K14" s="13">
        <v>0.4</v>
      </c>
      <c r="L14" s="13">
        <v>1.07</v>
      </c>
      <c r="M14" s="14">
        <v>0.88</v>
      </c>
      <c r="N14" s="13">
        <v>0.94</v>
      </c>
      <c r="O14" s="13">
        <v>0.56000000000000005</v>
      </c>
      <c r="P14" s="13">
        <v>0.61</v>
      </c>
      <c r="Q14" s="13">
        <v>1.19</v>
      </c>
      <c r="R14" s="13">
        <v>1.1499999999999999</v>
      </c>
      <c r="S14" s="14">
        <v>0.33</v>
      </c>
      <c r="T14" s="13">
        <v>0.42</v>
      </c>
      <c r="U14" s="13">
        <v>0.41</v>
      </c>
      <c r="V14" s="13">
        <v>0.9</v>
      </c>
      <c r="W14" s="13">
        <v>0.56000000000000005</v>
      </c>
      <c r="X14" s="13">
        <v>0.18</v>
      </c>
      <c r="Z14" s="12">
        <f>AVERAGE(Table1[[#This Row],[2003]:[2025]])</f>
        <v>0.7052173913043478</v>
      </c>
    </row>
    <row r="15" spans="1:26" x14ac:dyDescent="0.25">
      <c r="A15" s="13" t="s">
        <v>14</v>
      </c>
      <c r="B15" s="13">
        <v>1.4</v>
      </c>
      <c r="C15" s="13">
        <v>0.71</v>
      </c>
      <c r="D15" s="13">
        <v>0.39</v>
      </c>
      <c r="E15" s="13">
        <v>0.92</v>
      </c>
      <c r="F15" s="13">
        <v>0.51</v>
      </c>
      <c r="G15" s="13">
        <v>1.31</v>
      </c>
      <c r="H15" s="13">
        <v>0.55000000000000004</v>
      </c>
      <c r="I15" s="13">
        <v>0.77</v>
      </c>
      <c r="J15" s="13">
        <v>1.06</v>
      </c>
      <c r="K15" s="13">
        <v>0.56000000000000005</v>
      </c>
      <c r="L15" s="13">
        <v>1.32</v>
      </c>
      <c r="M15" s="14">
        <v>1.24</v>
      </c>
      <c r="N15" s="13">
        <v>0.87</v>
      </c>
      <c r="O15" s="13">
        <v>0.36</v>
      </c>
      <c r="P15" s="13">
        <v>0.86</v>
      </c>
      <c r="Q15" s="13">
        <v>0.87</v>
      </c>
      <c r="R15" s="13">
        <v>0.63</v>
      </c>
      <c r="S15" s="14">
        <v>0.55000000000000004</v>
      </c>
      <c r="T15" s="13">
        <v>0.93</v>
      </c>
      <c r="U15" s="13">
        <v>0.31</v>
      </c>
      <c r="V15" s="13">
        <v>0.99</v>
      </c>
      <c r="W15" s="13">
        <v>0.13</v>
      </c>
      <c r="X15" s="13">
        <v>0.36</v>
      </c>
      <c r="Z15" s="12">
        <f>AVERAGE(Table1[[#This Row],[2003]:[2025]])</f>
        <v>0.76521739130434774</v>
      </c>
    </row>
    <row r="16" spans="1:26" x14ac:dyDescent="0.25">
      <c r="A16" t="s">
        <v>15</v>
      </c>
      <c r="B16">
        <v>1.43</v>
      </c>
      <c r="C16">
        <v>1.1100000000000001</v>
      </c>
      <c r="D16">
        <v>0.88</v>
      </c>
      <c r="E16">
        <v>1.27</v>
      </c>
      <c r="F16">
        <v>1.05</v>
      </c>
      <c r="G16">
        <v>1.31</v>
      </c>
      <c r="H16">
        <v>1.25</v>
      </c>
      <c r="I16">
        <v>1.36</v>
      </c>
      <c r="J16">
        <v>1.34</v>
      </c>
      <c r="K16">
        <v>0.93</v>
      </c>
      <c r="L16">
        <v>1.63</v>
      </c>
      <c r="M16">
        <v>1.33</v>
      </c>
      <c r="N16">
        <v>1.46</v>
      </c>
      <c r="O16">
        <v>0.85</v>
      </c>
      <c r="P16">
        <v>1.48</v>
      </c>
      <c r="Q16">
        <v>1.24</v>
      </c>
      <c r="R16">
        <v>1.02</v>
      </c>
      <c r="S16">
        <v>0.75</v>
      </c>
      <c r="T16">
        <v>1.39</v>
      </c>
      <c r="U16">
        <v>0.69</v>
      </c>
      <c r="V16">
        <v>1.07</v>
      </c>
      <c r="W16">
        <v>0.87</v>
      </c>
      <c r="X16">
        <v>0.73</v>
      </c>
      <c r="Z16" s="12">
        <f>AVERAGE(Table1[[#This Row],[2003]:[2025]])</f>
        <v>1.1495652173913045</v>
      </c>
    </row>
    <row r="17" spans="1:26" x14ac:dyDescent="0.25">
      <c r="A17" t="s">
        <v>16</v>
      </c>
      <c r="B17">
        <v>1.42</v>
      </c>
      <c r="C17">
        <v>1.41</v>
      </c>
      <c r="D17">
        <v>1</v>
      </c>
      <c r="E17">
        <v>1.17</v>
      </c>
      <c r="F17">
        <v>1.01</v>
      </c>
      <c r="G17">
        <v>1.05</v>
      </c>
      <c r="H17">
        <v>1.27</v>
      </c>
      <c r="I17">
        <v>1.34</v>
      </c>
      <c r="J17">
        <v>1.36</v>
      </c>
      <c r="K17">
        <v>0.95</v>
      </c>
      <c r="L17">
        <v>1.1399999999999999</v>
      </c>
      <c r="M17">
        <v>1.46</v>
      </c>
      <c r="N17">
        <v>1.4</v>
      </c>
      <c r="O17">
        <v>0.93</v>
      </c>
      <c r="P17">
        <v>1.32</v>
      </c>
      <c r="Q17">
        <v>0.75</v>
      </c>
      <c r="R17">
        <v>1.0900000000000001</v>
      </c>
      <c r="S17">
        <v>0.86</v>
      </c>
      <c r="T17">
        <v>1.19</v>
      </c>
      <c r="U17">
        <v>0.6</v>
      </c>
      <c r="V17">
        <v>1.05</v>
      </c>
      <c r="W17">
        <v>0.73</v>
      </c>
      <c r="X17">
        <v>0.88</v>
      </c>
      <c r="Z17" s="12">
        <f>AVERAGE(Table1[[#This Row],[2003]:[2025]])</f>
        <v>1.1034782608695652</v>
      </c>
    </row>
    <row r="18" spans="1:26" x14ac:dyDescent="0.25">
      <c r="A18" t="s">
        <v>17</v>
      </c>
      <c r="B18">
        <v>1.24</v>
      </c>
      <c r="C18">
        <v>1.38</v>
      </c>
      <c r="D18">
        <v>0.7</v>
      </c>
      <c r="E18">
        <v>1.31</v>
      </c>
      <c r="F18">
        <v>0.77</v>
      </c>
      <c r="G18">
        <v>1.23</v>
      </c>
      <c r="H18">
        <v>1.26</v>
      </c>
      <c r="I18">
        <v>1.52</v>
      </c>
      <c r="J18">
        <v>1.61</v>
      </c>
      <c r="K18">
        <v>1.1100000000000001</v>
      </c>
      <c r="L18">
        <v>1.56</v>
      </c>
      <c r="M18">
        <v>1.44</v>
      </c>
      <c r="N18">
        <v>1.5</v>
      </c>
      <c r="O18">
        <v>0.92</v>
      </c>
      <c r="P18">
        <v>1.63</v>
      </c>
      <c r="Q18">
        <v>1.1399999999999999</v>
      </c>
      <c r="R18">
        <v>1.4</v>
      </c>
      <c r="S18">
        <v>0.71</v>
      </c>
      <c r="T18">
        <v>1.4</v>
      </c>
      <c r="U18">
        <v>0.76</v>
      </c>
      <c r="V18">
        <v>1.19</v>
      </c>
      <c r="W18">
        <v>0.68</v>
      </c>
      <c r="X18">
        <v>0.81</v>
      </c>
      <c r="Z18" s="12">
        <f>AVERAGE(Table1[[#This Row],[2003]:[2025]])</f>
        <v>1.1856521739130435</v>
      </c>
    </row>
    <row r="19" spans="1:26" x14ac:dyDescent="0.25">
      <c r="A19" t="s">
        <v>18</v>
      </c>
      <c r="B19">
        <v>1.17</v>
      </c>
      <c r="C19">
        <v>1.27</v>
      </c>
      <c r="D19">
        <v>0.85</v>
      </c>
      <c r="E19">
        <v>1.41</v>
      </c>
      <c r="F19">
        <v>0.82</v>
      </c>
      <c r="G19">
        <v>1.3</v>
      </c>
      <c r="H19">
        <v>1.21</v>
      </c>
      <c r="I19">
        <v>1.47</v>
      </c>
      <c r="J19">
        <v>1.41</v>
      </c>
      <c r="K19">
        <v>0.92</v>
      </c>
      <c r="L19">
        <v>0.96</v>
      </c>
      <c r="M19">
        <v>1.29</v>
      </c>
      <c r="N19">
        <v>1.37</v>
      </c>
      <c r="O19">
        <v>0.95</v>
      </c>
      <c r="P19">
        <v>1.59</v>
      </c>
      <c r="Q19">
        <v>1.23</v>
      </c>
      <c r="R19">
        <v>1.1200000000000001</v>
      </c>
      <c r="S19">
        <v>0.77</v>
      </c>
      <c r="T19">
        <v>1.1100000000000001</v>
      </c>
      <c r="U19">
        <v>0.87</v>
      </c>
      <c r="V19">
        <v>0.97</v>
      </c>
      <c r="W19">
        <v>0.85</v>
      </c>
      <c r="X19">
        <v>0.66</v>
      </c>
      <c r="Z19" s="12">
        <f>AVERAGE(Table1[[#This Row],[2003]:[2025]])</f>
        <v>1.1117391304347828</v>
      </c>
    </row>
    <row r="20" spans="1:26" x14ac:dyDescent="0.25">
      <c r="A20" t="s">
        <v>19</v>
      </c>
      <c r="B20">
        <v>1.44</v>
      </c>
      <c r="C20">
        <v>1.07</v>
      </c>
      <c r="D20">
        <v>0.75</v>
      </c>
      <c r="E20">
        <v>1.54</v>
      </c>
      <c r="F20">
        <v>0.96</v>
      </c>
      <c r="G20">
        <v>1.21</v>
      </c>
      <c r="H20">
        <v>1.26</v>
      </c>
      <c r="I20">
        <v>1.47</v>
      </c>
      <c r="J20">
        <v>1.51</v>
      </c>
      <c r="K20">
        <v>0.91</v>
      </c>
      <c r="L20">
        <v>1.44</v>
      </c>
      <c r="M20">
        <v>1.37</v>
      </c>
      <c r="N20">
        <v>1.42</v>
      </c>
      <c r="O20">
        <v>1.02</v>
      </c>
      <c r="P20">
        <v>1.0900000000000001</v>
      </c>
      <c r="Q20">
        <v>1.23</v>
      </c>
      <c r="R20">
        <v>1.43</v>
      </c>
      <c r="S20">
        <v>1.21</v>
      </c>
      <c r="T20">
        <v>0.99</v>
      </c>
      <c r="U20">
        <v>0.81</v>
      </c>
      <c r="V20">
        <v>1.1599999999999999</v>
      </c>
      <c r="W20">
        <v>0.76</v>
      </c>
      <c r="X20">
        <v>0.87</v>
      </c>
      <c r="Z20" s="12">
        <f>AVERAGE(Table1[[#This Row],[2003]:[2025]])</f>
        <v>1.1704347826086958</v>
      </c>
    </row>
    <row r="21" spans="1:26" x14ac:dyDescent="0.25">
      <c r="A21" t="s">
        <v>20</v>
      </c>
      <c r="B21">
        <v>1.1599999999999999</v>
      </c>
      <c r="C21">
        <v>1.23</v>
      </c>
      <c r="D21">
        <v>0.78</v>
      </c>
      <c r="E21">
        <v>1.43</v>
      </c>
      <c r="F21">
        <v>0.75</v>
      </c>
      <c r="G21">
        <v>1.1499999999999999</v>
      </c>
      <c r="H21">
        <v>1.42</v>
      </c>
      <c r="I21">
        <v>1.41</v>
      </c>
      <c r="J21">
        <v>1.1100000000000001</v>
      </c>
      <c r="K21">
        <v>1.1200000000000001</v>
      </c>
      <c r="L21">
        <v>1.58</v>
      </c>
      <c r="M21">
        <v>1.59</v>
      </c>
      <c r="N21">
        <v>1.47</v>
      </c>
      <c r="O21">
        <v>0.87</v>
      </c>
      <c r="P21">
        <v>1.48</v>
      </c>
      <c r="Q21">
        <v>1.54</v>
      </c>
      <c r="R21">
        <v>1.29</v>
      </c>
      <c r="S21">
        <v>0.84</v>
      </c>
      <c r="T21">
        <v>1.33</v>
      </c>
      <c r="U21">
        <v>0.76</v>
      </c>
      <c r="V21">
        <v>1.06</v>
      </c>
      <c r="W21">
        <v>0.74</v>
      </c>
      <c r="X21">
        <v>0.69</v>
      </c>
      <c r="Z21" s="12">
        <f>AVERAGE(Table1[[#This Row],[2003]:[2025]])</f>
        <v>1.1652173913043478</v>
      </c>
    </row>
    <row r="22" spans="1:26" x14ac:dyDescent="0.25">
      <c r="A22" t="s">
        <v>21</v>
      </c>
      <c r="B22">
        <v>1.47</v>
      </c>
      <c r="C22">
        <v>1.2</v>
      </c>
      <c r="D22">
        <v>1.02</v>
      </c>
      <c r="E22">
        <v>1.35</v>
      </c>
      <c r="F22">
        <v>0.81</v>
      </c>
      <c r="G22">
        <v>1.47</v>
      </c>
      <c r="H22">
        <v>1.47</v>
      </c>
      <c r="I22">
        <v>1.32</v>
      </c>
      <c r="J22">
        <v>1.58</v>
      </c>
      <c r="K22">
        <v>0.82</v>
      </c>
      <c r="L22">
        <v>1.34</v>
      </c>
      <c r="M22">
        <v>1.38</v>
      </c>
      <c r="N22">
        <v>1.38</v>
      </c>
      <c r="O22">
        <v>0.84</v>
      </c>
      <c r="P22">
        <v>1.4</v>
      </c>
      <c r="Q22">
        <v>1.46</v>
      </c>
      <c r="R22">
        <v>1.1299999999999999</v>
      </c>
      <c r="S22">
        <v>1.03</v>
      </c>
      <c r="T22">
        <v>1.01</v>
      </c>
      <c r="U22">
        <v>1.02</v>
      </c>
      <c r="V22">
        <v>1.28</v>
      </c>
      <c r="W22">
        <v>0.8</v>
      </c>
      <c r="X22">
        <v>0.78</v>
      </c>
      <c r="Z22" s="12">
        <f>AVERAGE(Table1[[#This Row],[2003]:[2025]])</f>
        <v>1.1895652173913045</v>
      </c>
    </row>
    <row r="23" spans="1:26" x14ac:dyDescent="0.25">
      <c r="A23" t="s">
        <v>22</v>
      </c>
      <c r="B23">
        <v>1.25</v>
      </c>
      <c r="C23">
        <v>1.19</v>
      </c>
      <c r="D23">
        <v>0.86</v>
      </c>
      <c r="E23">
        <v>1.25</v>
      </c>
      <c r="F23">
        <v>0.86</v>
      </c>
      <c r="G23">
        <v>1.26</v>
      </c>
      <c r="H23">
        <v>1.25</v>
      </c>
      <c r="I23">
        <v>1.3</v>
      </c>
      <c r="J23">
        <v>1.33</v>
      </c>
      <c r="K23">
        <v>0.94</v>
      </c>
      <c r="L23">
        <v>1.38</v>
      </c>
      <c r="M23">
        <v>1.42</v>
      </c>
      <c r="N23">
        <v>1.34</v>
      </c>
      <c r="O23">
        <v>0.92</v>
      </c>
      <c r="P23">
        <v>1.27</v>
      </c>
      <c r="Q23">
        <v>1.22</v>
      </c>
      <c r="R23">
        <v>1.23</v>
      </c>
      <c r="S23">
        <v>0.86</v>
      </c>
      <c r="T23">
        <v>1.1299999999999999</v>
      </c>
      <c r="U23">
        <v>0.81</v>
      </c>
      <c r="V23">
        <v>1.1100000000000001</v>
      </c>
      <c r="W23">
        <v>0.75</v>
      </c>
      <c r="X23">
        <v>0.73</v>
      </c>
      <c r="Z23" s="12">
        <f>AVERAGE(Table1[[#This Row],[2003]:[2025]])</f>
        <v>1.1156521739130434</v>
      </c>
    </row>
    <row r="73" spans="2:5" ht="15.75" thickBot="1" x14ac:dyDescent="0.3"/>
    <row r="74" spans="2:5" x14ac:dyDescent="0.25">
      <c r="B74" s="15"/>
      <c r="C74" s="16"/>
      <c r="D74" s="16"/>
      <c r="E74" s="17"/>
    </row>
    <row r="75" spans="2:5" x14ac:dyDescent="0.25">
      <c r="B75" s="18" t="s">
        <v>8</v>
      </c>
      <c r="C75" s="19">
        <v>0.95</v>
      </c>
      <c r="D75" s="19">
        <v>0.41</v>
      </c>
      <c r="E75" s="20"/>
    </row>
    <row r="76" spans="2:5" x14ac:dyDescent="0.25">
      <c r="B76" s="18" t="s">
        <v>9</v>
      </c>
      <c r="C76" s="19">
        <v>0.92</v>
      </c>
      <c r="D76" s="19">
        <v>0.4</v>
      </c>
      <c r="E76" s="20"/>
    </row>
    <row r="77" spans="2:5" x14ac:dyDescent="0.25">
      <c r="B77" s="18" t="s">
        <v>10</v>
      </c>
      <c r="C77" s="19">
        <v>1.39</v>
      </c>
      <c r="D77" s="19">
        <v>0.34</v>
      </c>
      <c r="E77" s="20"/>
    </row>
    <row r="78" spans="2:5" x14ac:dyDescent="0.25">
      <c r="B78" s="18" t="s">
        <v>11</v>
      </c>
      <c r="C78" s="19">
        <v>1.29</v>
      </c>
      <c r="D78" s="19">
        <v>0.48</v>
      </c>
      <c r="E78" s="20"/>
    </row>
    <row r="79" spans="2:5" x14ac:dyDescent="0.25">
      <c r="B79" s="18" t="s">
        <v>12</v>
      </c>
      <c r="C79" s="19">
        <v>1.41</v>
      </c>
      <c r="D79" s="19">
        <v>0.28000000000000003</v>
      </c>
      <c r="E79" s="20"/>
    </row>
    <row r="80" spans="2:5" x14ac:dyDescent="0.25">
      <c r="B80" s="18" t="s">
        <v>13</v>
      </c>
      <c r="C80" s="19">
        <v>0.88</v>
      </c>
      <c r="D80" s="19">
        <v>0.33</v>
      </c>
      <c r="E80" s="20"/>
    </row>
    <row r="81" spans="2:5" x14ac:dyDescent="0.25">
      <c r="B81" s="18" t="s">
        <v>14</v>
      </c>
      <c r="C81" s="19">
        <v>1.24</v>
      </c>
      <c r="D81" s="19">
        <v>0.55000000000000004</v>
      </c>
      <c r="E81" s="20"/>
    </row>
    <row r="82" spans="2:5" x14ac:dyDescent="0.25">
      <c r="B82" s="21"/>
      <c r="C82" s="22">
        <f>AVERAGE(C75:C81)</f>
        <v>1.1542857142857144</v>
      </c>
      <c r="D82" s="22">
        <f>AVERAGE(D75:D81)</f>
        <v>0.39857142857142858</v>
      </c>
      <c r="E82" s="23">
        <f>C82-D82</f>
        <v>0.75571428571428578</v>
      </c>
    </row>
    <row r="83" spans="2:5" x14ac:dyDescent="0.25">
      <c r="B83" s="21"/>
      <c r="C83" s="19"/>
      <c r="D83" s="19"/>
      <c r="E83" s="20"/>
    </row>
    <row r="84" spans="2:5" ht="15.75" thickBot="1" x14ac:dyDescent="0.3">
      <c r="B84" s="24"/>
      <c r="C84" s="25"/>
      <c r="D84" s="25"/>
      <c r="E84" s="26">
        <f>E82/C82</f>
        <v>0.65470297029702973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CF24-8016-45AC-BD53-C6A9F12C0819}">
  <sheetPr codeName="Sheet2" filterMode="1"/>
  <dimension ref="A1:V23"/>
  <sheetViews>
    <sheetView topLeftCell="B1" workbookViewId="0">
      <selection activeCell="R9" sqref="R9"/>
    </sheetView>
  </sheetViews>
  <sheetFormatPr defaultRowHeight="15" x14ac:dyDescent="0.25"/>
  <cols>
    <col min="1" max="1" width="22.5703125" customWidth="1"/>
    <col min="2" max="2" width="14.5703125" customWidth="1"/>
    <col min="21" max="21" width="10.85546875" customWidth="1"/>
    <col min="22" max="22" width="16.28515625" customWidth="1"/>
  </cols>
  <sheetData>
    <row r="1" spans="1:22" x14ac:dyDescent="0.25">
      <c r="A1" s="5" t="s">
        <v>0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36</v>
      </c>
      <c r="M1" s="6" t="s">
        <v>37</v>
      </c>
      <c r="N1" s="6" t="s">
        <v>38</v>
      </c>
      <c r="O1" s="6" t="s">
        <v>39</v>
      </c>
      <c r="P1" s="6" t="s">
        <v>40</v>
      </c>
      <c r="Q1" s="6" t="s">
        <v>41</v>
      </c>
      <c r="R1" s="6" t="s">
        <v>42</v>
      </c>
      <c r="S1" s="6" t="s">
        <v>43</v>
      </c>
      <c r="T1" s="6" t="s">
        <v>44</v>
      </c>
      <c r="U1" s="7" t="s">
        <v>45</v>
      </c>
      <c r="V1" s="10" t="s">
        <v>46</v>
      </c>
    </row>
    <row r="2" spans="1:22" hidden="1" x14ac:dyDescent="0.25">
      <c r="A2" s="1" t="s">
        <v>1</v>
      </c>
      <c r="B2" s="2">
        <v>1.54</v>
      </c>
      <c r="C2" s="2">
        <v>1.41</v>
      </c>
      <c r="D2" s="2">
        <v>1.65</v>
      </c>
      <c r="E2" s="2">
        <v>1.71</v>
      </c>
      <c r="F2" s="2">
        <v>1.72</v>
      </c>
      <c r="G2" s="2">
        <v>1.5</v>
      </c>
      <c r="H2" s="2">
        <v>1.42</v>
      </c>
      <c r="I2" s="2">
        <v>1.63</v>
      </c>
      <c r="J2" s="2">
        <v>1.73</v>
      </c>
      <c r="K2" s="2">
        <v>1.58</v>
      </c>
      <c r="L2" s="2">
        <v>1.45</v>
      </c>
      <c r="M2" s="2">
        <v>1.5</v>
      </c>
      <c r="N2" s="2">
        <v>1.55</v>
      </c>
      <c r="O2" s="2">
        <v>1.62</v>
      </c>
      <c r="P2" s="2">
        <v>1.19</v>
      </c>
      <c r="Q2" s="2">
        <v>1.34</v>
      </c>
      <c r="R2" s="2">
        <v>1.2</v>
      </c>
      <c r="S2" s="2">
        <v>1.37</v>
      </c>
      <c r="T2" s="2">
        <v>1.24</v>
      </c>
      <c r="U2" s="8">
        <v>1.1100000000000001</v>
      </c>
      <c r="V2" s="11">
        <f>AVERAGE(B2:U2)</f>
        <v>1.4730000000000001</v>
      </c>
    </row>
    <row r="3" spans="1:22" hidden="1" x14ac:dyDescent="0.25">
      <c r="A3" s="1" t="s">
        <v>2</v>
      </c>
      <c r="B3" s="2">
        <v>1.44</v>
      </c>
      <c r="C3" s="2">
        <v>1.2</v>
      </c>
      <c r="D3" s="2">
        <v>1.44</v>
      </c>
      <c r="E3" s="2">
        <v>1.75</v>
      </c>
      <c r="F3" s="2">
        <v>1.68</v>
      </c>
      <c r="G3" s="2">
        <v>1.5</v>
      </c>
      <c r="H3" s="2">
        <v>1.53</v>
      </c>
      <c r="I3" s="2">
        <v>1.69</v>
      </c>
      <c r="J3" s="2">
        <v>1.73</v>
      </c>
      <c r="K3" s="2">
        <v>1.57</v>
      </c>
      <c r="L3" s="2">
        <v>1.44</v>
      </c>
      <c r="M3" s="2">
        <v>1.72</v>
      </c>
      <c r="N3" s="2">
        <v>1.63</v>
      </c>
      <c r="O3" s="2">
        <v>1.51</v>
      </c>
      <c r="P3" s="2">
        <v>1.3</v>
      </c>
      <c r="Q3" s="2">
        <v>1.34</v>
      </c>
      <c r="R3" s="2">
        <v>1.22</v>
      </c>
      <c r="S3" s="2">
        <v>1.48</v>
      </c>
      <c r="T3" s="2">
        <v>1.03</v>
      </c>
      <c r="U3" s="8">
        <v>1.1100000000000001</v>
      </c>
      <c r="V3" s="11">
        <f t="shared" ref="V3:V23" si="0">AVERAGE(B3:U3)</f>
        <v>1.4655</v>
      </c>
    </row>
    <row r="4" spans="1:22" hidden="1" x14ac:dyDescent="0.25">
      <c r="A4" s="1" t="s">
        <v>3</v>
      </c>
      <c r="B4" s="2">
        <v>1.58</v>
      </c>
      <c r="C4" s="2">
        <v>1.18</v>
      </c>
      <c r="D4" s="2">
        <v>1.49</v>
      </c>
      <c r="E4" s="2">
        <v>1.57</v>
      </c>
      <c r="F4" s="2">
        <v>1.5</v>
      </c>
      <c r="G4" s="2">
        <v>1.65</v>
      </c>
      <c r="H4" s="2">
        <v>1.3</v>
      </c>
      <c r="I4" s="2">
        <v>1.7</v>
      </c>
      <c r="J4" s="2">
        <v>1.48</v>
      </c>
      <c r="K4" s="2">
        <v>1.68</v>
      </c>
      <c r="L4" s="2">
        <v>1.36</v>
      </c>
      <c r="M4" s="2">
        <v>1.68</v>
      </c>
      <c r="N4" s="2">
        <v>1.42</v>
      </c>
      <c r="O4" s="2">
        <v>1.64</v>
      </c>
      <c r="P4" s="2">
        <v>1.26</v>
      </c>
      <c r="Q4" s="2">
        <v>1.52</v>
      </c>
      <c r="R4" s="2">
        <v>1.18</v>
      </c>
      <c r="S4" s="2">
        <v>1.45</v>
      </c>
      <c r="T4" s="2">
        <v>1.1100000000000001</v>
      </c>
      <c r="U4" s="8">
        <v>1.1299999999999999</v>
      </c>
      <c r="V4" s="11">
        <f t="shared" si="0"/>
        <v>1.4440000000000002</v>
      </c>
    </row>
    <row r="5" spans="1:22" hidden="1" x14ac:dyDescent="0.25">
      <c r="A5" s="1" t="s">
        <v>4</v>
      </c>
      <c r="B5" s="2">
        <v>1.79</v>
      </c>
      <c r="C5" s="2">
        <v>1.21</v>
      </c>
      <c r="D5" s="2">
        <v>1.47</v>
      </c>
      <c r="E5" s="2">
        <v>1.46</v>
      </c>
      <c r="F5" s="2">
        <v>1.56</v>
      </c>
      <c r="G5" s="2">
        <v>1.69</v>
      </c>
      <c r="H5" s="2">
        <v>1.38</v>
      </c>
      <c r="I5" s="2">
        <v>1.74</v>
      </c>
      <c r="J5" s="2">
        <v>1.75</v>
      </c>
      <c r="K5" s="2">
        <v>1.6</v>
      </c>
      <c r="L5" s="2">
        <v>1.35</v>
      </c>
      <c r="M5" s="2">
        <v>1.55</v>
      </c>
      <c r="N5" s="2">
        <v>1.58</v>
      </c>
      <c r="O5" s="2">
        <v>1.39</v>
      </c>
      <c r="P5" s="2">
        <v>1.28</v>
      </c>
      <c r="Q5" s="2">
        <v>1.45</v>
      </c>
      <c r="R5" s="2">
        <v>1.29</v>
      </c>
      <c r="S5" s="2">
        <v>1.3</v>
      </c>
      <c r="T5" s="2">
        <v>1.1200000000000001</v>
      </c>
      <c r="U5" s="8">
        <v>1.23</v>
      </c>
      <c r="V5" s="11">
        <f t="shared" si="0"/>
        <v>1.4595000000000002</v>
      </c>
    </row>
    <row r="6" spans="1:22" hidden="1" x14ac:dyDescent="0.25">
      <c r="A6" s="1" t="s">
        <v>5</v>
      </c>
      <c r="B6" s="2">
        <v>1.26</v>
      </c>
      <c r="C6" s="2">
        <v>1.28</v>
      </c>
      <c r="D6" s="2">
        <v>1.54</v>
      </c>
      <c r="E6" s="2">
        <v>1.74</v>
      </c>
      <c r="F6" s="2">
        <v>1.56</v>
      </c>
      <c r="G6" s="2">
        <v>1.79</v>
      </c>
      <c r="H6" s="2">
        <v>1.31</v>
      </c>
      <c r="I6" s="2">
        <v>1.63</v>
      </c>
      <c r="J6" s="2">
        <v>1.81</v>
      </c>
      <c r="K6" s="2">
        <v>1.7</v>
      </c>
      <c r="L6" s="2">
        <v>1.39</v>
      </c>
      <c r="M6" s="2">
        <v>1.52</v>
      </c>
      <c r="N6" s="2">
        <v>1.57</v>
      </c>
      <c r="O6" s="2">
        <v>1.48</v>
      </c>
      <c r="P6" s="2">
        <v>1.39</v>
      </c>
      <c r="Q6" s="2">
        <v>1.4</v>
      </c>
      <c r="R6" s="2">
        <v>1.08</v>
      </c>
      <c r="S6" s="2">
        <v>1.49</v>
      </c>
      <c r="T6" s="2">
        <v>1.08</v>
      </c>
      <c r="U6" s="8">
        <v>1.04</v>
      </c>
      <c r="V6" s="11">
        <f t="shared" si="0"/>
        <v>1.4530000000000001</v>
      </c>
    </row>
    <row r="7" spans="1:22" hidden="1" x14ac:dyDescent="0.25">
      <c r="A7" s="1" t="s">
        <v>6</v>
      </c>
      <c r="B7" s="2">
        <v>1.5</v>
      </c>
      <c r="C7" s="2">
        <v>1.4</v>
      </c>
      <c r="D7" s="2">
        <v>1.55</v>
      </c>
      <c r="E7" s="2">
        <v>1.63</v>
      </c>
      <c r="F7" s="2">
        <v>1.81</v>
      </c>
      <c r="G7" s="2">
        <v>1.59</v>
      </c>
      <c r="H7" s="2">
        <v>1.38</v>
      </c>
      <c r="I7" s="2">
        <v>1.54</v>
      </c>
      <c r="J7" s="2">
        <v>1.71</v>
      </c>
      <c r="K7" s="2">
        <v>1.74</v>
      </c>
      <c r="L7" s="2">
        <v>1.31</v>
      </c>
      <c r="M7" s="2">
        <v>1.57</v>
      </c>
      <c r="N7" s="2">
        <v>1.46</v>
      </c>
      <c r="O7" s="2">
        <v>1.57</v>
      </c>
      <c r="P7" s="2">
        <v>1.36</v>
      </c>
      <c r="Q7" s="2">
        <v>1.44</v>
      </c>
      <c r="R7" s="2">
        <v>1.1599999999999999</v>
      </c>
      <c r="S7" s="2">
        <v>1.36</v>
      </c>
      <c r="T7" s="2">
        <v>1.1200000000000001</v>
      </c>
      <c r="U7" s="8">
        <v>0.97</v>
      </c>
      <c r="V7" s="11">
        <f t="shared" si="0"/>
        <v>1.4585000000000001</v>
      </c>
    </row>
    <row r="8" spans="1:22" hidden="1" x14ac:dyDescent="0.25">
      <c r="A8" s="1" t="s">
        <v>7</v>
      </c>
      <c r="B8" s="2">
        <v>1.61</v>
      </c>
      <c r="C8" s="2">
        <v>1.29</v>
      </c>
      <c r="D8" s="2">
        <v>1.61</v>
      </c>
      <c r="E8" s="2">
        <v>1.47</v>
      </c>
      <c r="F8" s="2">
        <v>1.38</v>
      </c>
      <c r="G8" s="2">
        <v>1.61</v>
      </c>
      <c r="H8" s="2">
        <v>1.45</v>
      </c>
      <c r="I8" s="2">
        <v>1.71</v>
      </c>
      <c r="J8" s="2">
        <v>1.65</v>
      </c>
      <c r="K8" s="2">
        <v>1.84</v>
      </c>
      <c r="L8" s="2">
        <v>1.37</v>
      </c>
      <c r="M8" s="2">
        <v>1.59</v>
      </c>
      <c r="N8" s="2">
        <v>1.48</v>
      </c>
      <c r="O8" s="2">
        <v>1.54</v>
      </c>
      <c r="P8" s="2">
        <v>1.25</v>
      </c>
      <c r="Q8" s="2">
        <v>1.34</v>
      </c>
      <c r="R8" s="2">
        <v>1.33</v>
      </c>
      <c r="S8" s="2">
        <v>1.38</v>
      </c>
      <c r="T8" s="2">
        <v>1.1100000000000001</v>
      </c>
      <c r="U8" s="8">
        <v>1.05</v>
      </c>
      <c r="V8" s="11">
        <f t="shared" si="0"/>
        <v>1.4529999999999998</v>
      </c>
    </row>
    <row r="9" spans="1:22" x14ac:dyDescent="0.25">
      <c r="A9" s="1" t="s">
        <v>8</v>
      </c>
      <c r="B9" s="2">
        <v>0.87</v>
      </c>
      <c r="C9" s="2">
        <v>0.41</v>
      </c>
      <c r="D9" s="2">
        <v>0.66</v>
      </c>
      <c r="E9" s="2">
        <v>0.84</v>
      </c>
      <c r="F9" s="2">
        <v>0.69</v>
      </c>
      <c r="G9" s="2">
        <v>0.95</v>
      </c>
      <c r="H9" s="2">
        <v>0.31</v>
      </c>
      <c r="I9" s="2">
        <v>0.68</v>
      </c>
      <c r="J9" s="2">
        <v>0.95</v>
      </c>
      <c r="K9" s="2">
        <v>0.66</v>
      </c>
      <c r="L9" s="2">
        <v>0.28000000000000003</v>
      </c>
      <c r="M9" s="2">
        <v>0.83</v>
      </c>
      <c r="N9" s="2">
        <v>0.62</v>
      </c>
      <c r="O9" s="2">
        <v>0.68</v>
      </c>
      <c r="P9" s="2">
        <v>0.41</v>
      </c>
      <c r="Q9" s="2">
        <v>1.03</v>
      </c>
      <c r="R9" s="2">
        <v>0.67</v>
      </c>
      <c r="S9" s="2">
        <v>0.59</v>
      </c>
      <c r="T9" s="2">
        <v>0.4</v>
      </c>
      <c r="U9" s="8">
        <v>0.39</v>
      </c>
      <c r="V9" s="11">
        <f t="shared" si="0"/>
        <v>0.64599999999999991</v>
      </c>
    </row>
    <row r="10" spans="1:22" x14ac:dyDescent="0.25">
      <c r="A10" s="1" t="s">
        <v>9</v>
      </c>
      <c r="B10" s="2">
        <v>0.97</v>
      </c>
      <c r="C10" s="2">
        <v>0.6</v>
      </c>
      <c r="D10" s="2">
        <v>1.07</v>
      </c>
      <c r="E10" s="2">
        <v>0.91</v>
      </c>
      <c r="F10" s="2">
        <v>1.26</v>
      </c>
      <c r="G10" s="2">
        <v>0.85</v>
      </c>
      <c r="H10" s="2">
        <v>0.74</v>
      </c>
      <c r="I10" s="2">
        <v>1.58</v>
      </c>
      <c r="J10" s="2">
        <v>0.92</v>
      </c>
      <c r="K10" s="2">
        <v>0.67</v>
      </c>
      <c r="L10" s="2">
        <v>0.62</v>
      </c>
      <c r="M10" s="2">
        <v>0.97</v>
      </c>
      <c r="N10" s="2">
        <v>0.93</v>
      </c>
      <c r="O10" s="2">
        <v>0.97</v>
      </c>
      <c r="P10" s="2">
        <v>0.4</v>
      </c>
      <c r="Q10" s="2">
        <v>0.82</v>
      </c>
      <c r="R10" s="2">
        <v>0.34</v>
      </c>
      <c r="S10" s="2">
        <v>0.5</v>
      </c>
      <c r="T10" s="2">
        <v>0.31</v>
      </c>
      <c r="U10" s="8">
        <v>0.34</v>
      </c>
      <c r="V10" s="11">
        <f t="shared" si="0"/>
        <v>0.78850000000000009</v>
      </c>
    </row>
    <row r="11" spans="1:22" x14ac:dyDescent="0.25">
      <c r="A11" s="1" t="s">
        <v>10</v>
      </c>
      <c r="B11" s="2">
        <v>0.83</v>
      </c>
      <c r="C11" s="2">
        <v>0.38</v>
      </c>
      <c r="D11" s="2">
        <v>1.0900000000000001</v>
      </c>
      <c r="E11" s="2">
        <v>0.55000000000000004</v>
      </c>
      <c r="F11" s="2">
        <v>1.01</v>
      </c>
      <c r="G11" s="2">
        <v>1.17</v>
      </c>
      <c r="H11" s="2">
        <v>0.28000000000000003</v>
      </c>
      <c r="I11" s="2">
        <v>0.98</v>
      </c>
      <c r="J11" s="2">
        <v>1.39</v>
      </c>
      <c r="K11" s="2">
        <v>1.18</v>
      </c>
      <c r="L11" s="2">
        <v>0.43</v>
      </c>
      <c r="M11" s="2">
        <v>0.78</v>
      </c>
      <c r="N11" s="2">
        <v>0.9</v>
      </c>
      <c r="O11" s="2">
        <v>0.89</v>
      </c>
      <c r="P11" s="2">
        <v>0.34</v>
      </c>
      <c r="Q11" s="2">
        <v>0.86</v>
      </c>
      <c r="R11" s="2">
        <v>0.33</v>
      </c>
      <c r="S11" s="2">
        <v>0.89</v>
      </c>
      <c r="T11" s="2">
        <v>0.4</v>
      </c>
      <c r="U11" s="8">
        <v>0.34</v>
      </c>
      <c r="V11" s="11">
        <f t="shared" si="0"/>
        <v>0.751</v>
      </c>
    </row>
    <row r="12" spans="1:22" hidden="1" x14ac:dyDescent="0.25">
      <c r="A12" s="1" t="s">
        <v>11</v>
      </c>
      <c r="B12" s="2">
        <v>0.7</v>
      </c>
      <c r="C12" s="2">
        <v>0.37</v>
      </c>
      <c r="D12" s="2">
        <v>1.26</v>
      </c>
      <c r="E12" s="2">
        <v>0.46</v>
      </c>
      <c r="F12" s="2">
        <v>0.65</v>
      </c>
      <c r="G12" s="2">
        <v>0.56999999999999995</v>
      </c>
      <c r="H12" s="2">
        <v>0.51</v>
      </c>
      <c r="I12" s="2">
        <v>1.41</v>
      </c>
      <c r="J12" s="2">
        <v>1.29</v>
      </c>
      <c r="K12" s="2">
        <v>1.04</v>
      </c>
      <c r="L12" s="2">
        <v>0.42</v>
      </c>
      <c r="M12" s="2">
        <v>0.45</v>
      </c>
      <c r="N12" s="2">
        <v>0.67</v>
      </c>
      <c r="O12" s="2">
        <v>1.1200000000000001</v>
      </c>
      <c r="P12" s="2">
        <v>0.48</v>
      </c>
      <c r="Q12" s="2">
        <v>0.89</v>
      </c>
      <c r="R12" s="2">
        <v>0.54</v>
      </c>
      <c r="S12" s="2">
        <v>1.03</v>
      </c>
      <c r="T12" s="2">
        <v>0.38</v>
      </c>
      <c r="U12" s="8">
        <v>0.38</v>
      </c>
      <c r="V12" s="11">
        <f t="shared" si="0"/>
        <v>0.73099999999999998</v>
      </c>
    </row>
    <row r="13" spans="1:22" hidden="1" x14ac:dyDescent="0.25">
      <c r="A13" s="1" t="s">
        <v>12</v>
      </c>
      <c r="B13" s="2">
        <v>0.8</v>
      </c>
      <c r="C13" s="2">
        <v>0.41</v>
      </c>
      <c r="D13" s="2">
        <v>1</v>
      </c>
      <c r="E13" s="2">
        <v>1.37</v>
      </c>
      <c r="F13" s="2">
        <v>1.1399999999999999</v>
      </c>
      <c r="G13" s="2">
        <v>1.0900000000000001</v>
      </c>
      <c r="H13" s="2">
        <v>0.4</v>
      </c>
      <c r="I13" s="2">
        <v>0.56000000000000005</v>
      </c>
      <c r="J13" s="2">
        <v>1.41</v>
      </c>
      <c r="K13" s="2">
        <v>0.97</v>
      </c>
      <c r="L13" s="2">
        <v>0.51</v>
      </c>
      <c r="M13" s="2">
        <v>1</v>
      </c>
      <c r="N13" s="2">
        <v>1.0900000000000001</v>
      </c>
      <c r="O13" s="2">
        <v>1.18</v>
      </c>
      <c r="P13" s="2">
        <v>0.28000000000000003</v>
      </c>
      <c r="Q13" s="2">
        <v>0.61</v>
      </c>
      <c r="R13" s="2">
        <v>0.46</v>
      </c>
      <c r="S13" s="2">
        <v>0.72</v>
      </c>
      <c r="T13" s="2">
        <v>0.28000000000000003</v>
      </c>
      <c r="U13" s="8">
        <v>0.38</v>
      </c>
      <c r="V13" s="11">
        <f t="shared" si="0"/>
        <v>0.78300000000000003</v>
      </c>
    </row>
    <row r="14" spans="1:22" hidden="1" x14ac:dyDescent="0.25">
      <c r="A14" s="1" t="s">
        <v>13</v>
      </c>
      <c r="B14" s="2">
        <v>1</v>
      </c>
      <c r="C14" s="2">
        <v>0.26</v>
      </c>
      <c r="D14" s="2">
        <v>0.65</v>
      </c>
      <c r="E14" s="2">
        <v>1.01</v>
      </c>
      <c r="F14" s="2">
        <v>0.68</v>
      </c>
      <c r="G14" s="2">
        <v>0.95</v>
      </c>
      <c r="H14" s="2">
        <v>0.4</v>
      </c>
      <c r="I14" s="2">
        <v>1.07</v>
      </c>
      <c r="J14" s="2">
        <v>0.88</v>
      </c>
      <c r="K14" s="2">
        <v>0.94</v>
      </c>
      <c r="L14" s="2">
        <v>0.56000000000000005</v>
      </c>
      <c r="M14" s="2">
        <v>0.61</v>
      </c>
      <c r="N14" s="2">
        <v>1.19</v>
      </c>
      <c r="O14" s="2">
        <v>1.1499999999999999</v>
      </c>
      <c r="P14" s="2">
        <v>0.33</v>
      </c>
      <c r="Q14" s="2">
        <v>0.42</v>
      </c>
      <c r="R14" s="2">
        <v>0.41</v>
      </c>
      <c r="S14" s="2">
        <v>0.9</v>
      </c>
      <c r="T14" s="2">
        <v>0.56000000000000005</v>
      </c>
      <c r="U14" s="8">
        <v>0.18</v>
      </c>
      <c r="V14" s="11">
        <f t="shared" si="0"/>
        <v>0.70750000000000002</v>
      </c>
    </row>
    <row r="15" spans="1:22" hidden="1" x14ac:dyDescent="0.25">
      <c r="A15" s="1" t="s">
        <v>14</v>
      </c>
      <c r="B15" s="2">
        <v>0.92</v>
      </c>
      <c r="C15" s="2">
        <v>0.51</v>
      </c>
      <c r="D15" s="2">
        <v>1.31</v>
      </c>
      <c r="E15" s="2">
        <v>0.55000000000000004</v>
      </c>
      <c r="F15" s="2">
        <v>0.77</v>
      </c>
      <c r="G15" s="2">
        <v>1.06</v>
      </c>
      <c r="H15" s="2">
        <v>0.56000000000000005</v>
      </c>
      <c r="I15" s="2">
        <v>1.32</v>
      </c>
      <c r="J15" s="2">
        <v>1.24</v>
      </c>
      <c r="K15" s="2">
        <v>0.87</v>
      </c>
      <c r="L15" s="2">
        <v>0.36</v>
      </c>
      <c r="M15" s="2">
        <v>0.86</v>
      </c>
      <c r="N15" s="2">
        <v>0.87</v>
      </c>
      <c r="O15" s="2">
        <v>0.63</v>
      </c>
      <c r="P15" s="2">
        <v>0.55000000000000004</v>
      </c>
      <c r="Q15" s="2">
        <v>0.93</v>
      </c>
      <c r="R15" s="2">
        <v>0.31</v>
      </c>
      <c r="S15" s="2">
        <v>0.99</v>
      </c>
      <c r="T15" s="2">
        <v>0.13</v>
      </c>
      <c r="U15" s="8">
        <v>0.36</v>
      </c>
      <c r="V15" s="11">
        <f t="shared" si="0"/>
        <v>0.75500000000000012</v>
      </c>
    </row>
    <row r="16" spans="1:22" hidden="1" x14ac:dyDescent="0.25">
      <c r="A16" s="1" t="s">
        <v>15</v>
      </c>
      <c r="B16" s="2">
        <v>1.27</v>
      </c>
      <c r="C16" s="2">
        <v>1.05</v>
      </c>
      <c r="D16" s="2">
        <v>1.31</v>
      </c>
      <c r="E16" s="2">
        <v>1.25</v>
      </c>
      <c r="F16" s="2">
        <v>1.36</v>
      </c>
      <c r="G16" s="2">
        <v>1.34</v>
      </c>
      <c r="H16" s="2">
        <v>0.93</v>
      </c>
      <c r="I16" s="2">
        <v>1.63</v>
      </c>
      <c r="J16" s="2">
        <v>1.33</v>
      </c>
      <c r="K16" s="2">
        <v>1.46</v>
      </c>
      <c r="L16" s="2">
        <v>0.85</v>
      </c>
      <c r="M16" s="2">
        <v>1.48</v>
      </c>
      <c r="N16" s="2">
        <v>1.24</v>
      </c>
      <c r="O16" s="2">
        <v>1.02</v>
      </c>
      <c r="P16" s="2">
        <v>0.75</v>
      </c>
      <c r="Q16" s="2">
        <v>1.39</v>
      </c>
      <c r="R16" s="2">
        <v>0.69</v>
      </c>
      <c r="S16" s="2">
        <v>1.07</v>
      </c>
      <c r="T16" s="2">
        <v>0.87</v>
      </c>
      <c r="U16" s="8">
        <v>0.73</v>
      </c>
      <c r="V16" s="11">
        <f t="shared" si="0"/>
        <v>1.1510000000000002</v>
      </c>
    </row>
    <row r="17" spans="1:22" hidden="1" x14ac:dyDescent="0.25">
      <c r="A17" s="1" t="s">
        <v>16</v>
      </c>
      <c r="B17" s="2">
        <v>1.17</v>
      </c>
      <c r="C17" s="2">
        <v>1.01</v>
      </c>
      <c r="D17" s="2">
        <v>1.05</v>
      </c>
      <c r="E17" s="2">
        <v>1.27</v>
      </c>
      <c r="F17" s="2">
        <v>1.34</v>
      </c>
      <c r="G17" s="2">
        <v>1.36</v>
      </c>
      <c r="H17" s="2">
        <v>0.95</v>
      </c>
      <c r="I17" s="2">
        <v>1.1399999999999999</v>
      </c>
      <c r="J17" s="2">
        <v>1.46</v>
      </c>
      <c r="K17" s="2">
        <v>1.4</v>
      </c>
      <c r="L17" s="2">
        <v>0.93</v>
      </c>
      <c r="M17" s="2">
        <v>1.32</v>
      </c>
      <c r="N17" s="2">
        <v>0.75</v>
      </c>
      <c r="O17" s="2">
        <v>1.0900000000000001</v>
      </c>
      <c r="P17" s="2">
        <v>0.86</v>
      </c>
      <c r="Q17" s="2">
        <v>1.19</v>
      </c>
      <c r="R17" s="2">
        <v>0.6</v>
      </c>
      <c r="S17" s="2">
        <v>1.05</v>
      </c>
      <c r="T17" s="2">
        <v>0.73</v>
      </c>
      <c r="U17" s="8">
        <v>0.88</v>
      </c>
      <c r="V17" s="11">
        <f t="shared" si="0"/>
        <v>1.0775000000000001</v>
      </c>
    </row>
    <row r="18" spans="1:22" hidden="1" x14ac:dyDescent="0.25">
      <c r="A18" s="1" t="s">
        <v>17</v>
      </c>
      <c r="B18" s="2">
        <v>1.31</v>
      </c>
      <c r="C18" s="2">
        <v>0.77</v>
      </c>
      <c r="D18" s="2">
        <v>1.23</v>
      </c>
      <c r="E18" s="2">
        <v>1.26</v>
      </c>
      <c r="F18" s="2">
        <v>1.52</v>
      </c>
      <c r="G18" s="2">
        <v>1.61</v>
      </c>
      <c r="H18" s="2">
        <v>1.1100000000000001</v>
      </c>
      <c r="I18" s="2">
        <v>1.56</v>
      </c>
      <c r="J18" s="2">
        <v>1.44</v>
      </c>
      <c r="K18" s="2">
        <v>1.5</v>
      </c>
      <c r="L18" s="2">
        <v>0.92</v>
      </c>
      <c r="M18" s="2">
        <v>1.63</v>
      </c>
      <c r="N18" s="2">
        <v>1.1399999999999999</v>
      </c>
      <c r="O18" s="2">
        <v>1.4</v>
      </c>
      <c r="P18" s="2">
        <v>0.71</v>
      </c>
      <c r="Q18" s="2">
        <v>1.4</v>
      </c>
      <c r="R18" s="2">
        <v>0.76</v>
      </c>
      <c r="S18" s="2">
        <v>1.19</v>
      </c>
      <c r="T18" s="2">
        <v>0.68</v>
      </c>
      <c r="U18" s="8">
        <v>0.81</v>
      </c>
      <c r="V18" s="11">
        <f t="shared" si="0"/>
        <v>1.1975</v>
      </c>
    </row>
    <row r="19" spans="1:22" hidden="1" x14ac:dyDescent="0.25">
      <c r="A19" s="1" t="s">
        <v>18</v>
      </c>
      <c r="B19" s="2">
        <v>1.41</v>
      </c>
      <c r="C19" s="2">
        <v>0.82</v>
      </c>
      <c r="D19" s="2">
        <v>1.3</v>
      </c>
      <c r="E19" s="2">
        <v>1.21</v>
      </c>
      <c r="F19" s="2">
        <v>1.47</v>
      </c>
      <c r="G19" s="2">
        <v>1.41</v>
      </c>
      <c r="H19" s="2">
        <v>0.92</v>
      </c>
      <c r="I19" s="2">
        <v>0.96</v>
      </c>
      <c r="J19" s="2">
        <v>1.29</v>
      </c>
      <c r="K19" s="2">
        <v>1.37</v>
      </c>
      <c r="L19" s="2">
        <v>0.95</v>
      </c>
      <c r="M19" s="2">
        <v>1.59</v>
      </c>
      <c r="N19" s="2">
        <v>1.23</v>
      </c>
      <c r="O19" s="2">
        <v>1.1200000000000001</v>
      </c>
      <c r="P19" s="2">
        <v>0.77</v>
      </c>
      <c r="Q19" s="2">
        <v>1.1100000000000001</v>
      </c>
      <c r="R19" s="2">
        <v>0.87</v>
      </c>
      <c r="S19" s="2">
        <v>0.97</v>
      </c>
      <c r="T19" s="2">
        <v>0.85</v>
      </c>
      <c r="U19" s="8">
        <v>0.66</v>
      </c>
      <c r="V19" s="11">
        <f t="shared" si="0"/>
        <v>1.1140000000000001</v>
      </c>
    </row>
    <row r="20" spans="1:22" hidden="1" x14ac:dyDescent="0.25">
      <c r="A20" s="1" t="s">
        <v>19</v>
      </c>
      <c r="B20" s="2">
        <v>1.54</v>
      </c>
      <c r="C20" s="2">
        <v>0.96</v>
      </c>
      <c r="D20" s="2">
        <v>1.21</v>
      </c>
      <c r="E20" s="2">
        <v>1.26</v>
      </c>
      <c r="F20" s="2">
        <v>1.47</v>
      </c>
      <c r="G20" s="2">
        <v>1.51</v>
      </c>
      <c r="H20" s="2">
        <v>0.91</v>
      </c>
      <c r="I20" s="2">
        <v>1.44</v>
      </c>
      <c r="J20" s="2">
        <v>1.37</v>
      </c>
      <c r="K20" s="2">
        <v>1.42</v>
      </c>
      <c r="L20" s="2">
        <v>1.02</v>
      </c>
      <c r="M20" s="2">
        <v>1.0900000000000001</v>
      </c>
      <c r="N20" s="2">
        <v>1.23</v>
      </c>
      <c r="O20" s="2">
        <v>1.43</v>
      </c>
      <c r="P20" s="2">
        <v>1.21</v>
      </c>
      <c r="Q20" s="2">
        <v>0.99</v>
      </c>
      <c r="R20" s="2">
        <v>0.81</v>
      </c>
      <c r="S20" s="2">
        <v>1.1599999999999999</v>
      </c>
      <c r="T20" s="2">
        <v>0.76</v>
      </c>
      <c r="U20" s="8">
        <v>0.87</v>
      </c>
      <c r="V20" s="11">
        <f t="shared" si="0"/>
        <v>1.1829999999999998</v>
      </c>
    </row>
    <row r="21" spans="1:22" hidden="1" x14ac:dyDescent="0.25">
      <c r="A21" s="1" t="s">
        <v>20</v>
      </c>
      <c r="B21" s="2">
        <v>1.43</v>
      </c>
      <c r="C21" s="2">
        <v>0.75</v>
      </c>
      <c r="D21" s="2">
        <v>1.1499999999999999</v>
      </c>
      <c r="E21" s="2">
        <v>1.42</v>
      </c>
      <c r="F21" s="2">
        <v>1.41</v>
      </c>
      <c r="G21" s="2">
        <v>1.1100000000000001</v>
      </c>
      <c r="H21" s="2">
        <v>1.1200000000000001</v>
      </c>
      <c r="I21" s="2">
        <v>1.58</v>
      </c>
      <c r="J21" s="2">
        <v>1.59</v>
      </c>
      <c r="K21" s="2">
        <v>1.47</v>
      </c>
      <c r="L21" s="2">
        <v>0.87</v>
      </c>
      <c r="M21" s="2">
        <v>1.48</v>
      </c>
      <c r="N21" s="2">
        <v>1.54</v>
      </c>
      <c r="O21" s="2">
        <v>1.29</v>
      </c>
      <c r="P21" s="2">
        <v>0.84</v>
      </c>
      <c r="Q21" s="2">
        <v>1.33</v>
      </c>
      <c r="R21" s="2">
        <v>0.76</v>
      </c>
      <c r="S21" s="2">
        <v>1.06</v>
      </c>
      <c r="T21" s="2">
        <v>0.74</v>
      </c>
      <c r="U21" s="8">
        <v>0.69</v>
      </c>
      <c r="V21" s="11">
        <f t="shared" si="0"/>
        <v>1.1815000000000002</v>
      </c>
    </row>
    <row r="22" spans="1:22" hidden="1" x14ac:dyDescent="0.25">
      <c r="A22" s="1" t="s">
        <v>21</v>
      </c>
      <c r="B22" s="2">
        <v>1.35</v>
      </c>
      <c r="C22" s="2">
        <v>0.81</v>
      </c>
      <c r="D22" s="2">
        <v>1.47</v>
      </c>
      <c r="E22" s="2">
        <v>1.47</v>
      </c>
      <c r="F22" s="2">
        <v>1.32</v>
      </c>
      <c r="G22" s="2">
        <v>1.58</v>
      </c>
      <c r="H22" s="2">
        <v>0.82</v>
      </c>
      <c r="I22" s="2">
        <v>1.34</v>
      </c>
      <c r="J22" s="2">
        <v>1.38</v>
      </c>
      <c r="K22" s="2">
        <v>1.38</v>
      </c>
      <c r="L22" s="2">
        <v>0.84</v>
      </c>
      <c r="M22" s="2">
        <v>1.4</v>
      </c>
      <c r="N22" s="2">
        <v>1.46</v>
      </c>
      <c r="O22" s="2">
        <v>1.1299999999999999</v>
      </c>
      <c r="P22" s="2">
        <v>1.03</v>
      </c>
      <c r="Q22" s="2">
        <v>1.01</v>
      </c>
      <c r="R22" s="2">
        <v>1.02</v>
      </c>
      <c r="S22" s="2">
        <v>1.28</v>
      </c>
      <c r="T22" s="2">
        <v>0.8</v>
      </c>
      <c r="U22" s="8">
        <v>0.78</v>
      </c>
      <c r="V22" s="11">
        <f t="shared" si="0"/>
        <v>1.1835</v>
      </c>
    </row>
    <row r="23" spans="1:22" hidden="1" x14ac:dyDescent="0.25">
      <c r="A23" s="3" t="s">
        <v>22</v>
      </c>
      <c r="B23" s="4">
        <v>1.25</v>
      </c>
      <c r="C23" s="4">
        <v>0.86</v>
      </c>
      <c r="D23" s="4">
        <v>1.26</v>
      </c>
      <c r="E23" s="4">
        <v>1.25</v>
      </c>
      <c r="F23" s="4">
        <v>1.3</v>
      </c>
      <c r="G23" s="4">
        <v>1.33</v>
      </c>
      <c r="H23" s="4">
        <v>0.94</v>
      </c>
      <c r="I23" s="4">
        <v>1.38</v>
      </c>
      <c r="J23" s="4">
        <v>1.42</v>
      </c>
      <c r="K23" s="4">
        <v>1.34</v>
      </c>
      <c r="L23" s="4">
        <v>0.92</v>
      </c>
      <c r="M23" s="4">
        <v>1.27</v>
      </c>
      <c r="N23" s="4">
        <v>1.22</v>
      </c>
      <c r="O23" s="4">
        <v>1.23</v>
      </c>
      <c r="P23" s="4">
        <v>0.86</v>
      </c>
      <c r="Q23" s="4">
        <v>1.1299999999999999</v>
      </c>
      <c r="R23" s="4">
        <v>0.81</v>
      </c>
      <c r="S23" s="4">
        <v>1.1100000000000001</v>
      </c>
      <c r="T23" s="4">
        <v>0.75</v>
      </c>
      <c r="U23" s="9">
        <v>0.73</v>
      </c>
      <c r="V23" s="11">
        <f t="shared" si="0"/>
        <v>1.1179999999999999</v>
      </c>
    </row>
  </sheetData>
  <autoFilter ref="A1:V23" xr:uid="{FFE5CF24-8016-45AC-BD53-C6A9F12C0819}">
    <filterColumn colId="0">
      <filters>
        <filter val="Bugesera"/>
        <filter val="Kayonza"/>
        <filter val="Kirehe"/>
      </filters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E3EB-9A16-4A5C-8036-461BF9EB85B9}">
  <sheetPr codeName="Sheet3"/>
  <dimension ref="A1:Q23"/>
  <sheetViews>
    <sheetView topLeftCell="A25" workbookViewId="0">
      <selection activeCell="AB13" sqref="AB13"/>
    </sheetView>
  </sheetViews>
  <sheetFormatPr defaultRowHeight="15" x14ac:dyDescent="0.25"/>
  <cols>
    <col min="1" max="1" width="22.5703125" customWidth="1"/>
    <col min="2" max="2" width="14.5703125" customWidth="1"/>
    <col min="21" max="21" width="10.85546875" customWidth="1"/>
    <col min="22" max="22" width="16.28515625" customWidth="1"/>
  </cols>
  <sheetData>
    <row r="1" spans="1:17" x14ac:dyDescent="0.25">
      <c r="A1" s="5" t="s">
        <v>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7" t="s">
        <v>45</v>
      </c>
      <c r="Q1" s="10" t="s">
        <v>46</v>
      </c>
    </row>
    <row r="2" spans="1:17" x14ac:dyDescent="0.25">
      <c r="A2" s="1" t="s">
        <v>1</v>
      </c>
      <c r="B2" s="2">
        <v>1.5</v>
      </c>
      <c r="C2" s="2">
        <v>1.42</v>
      </c>
      <c r="D2" s="2">
        <v>1.63</v>
      </c>
      <c r="E2" s="2">
        <v>1.73</v>
      </c>
      <c r="F2" s="2">
        <v>1.58</v>
      </c>
      <c r="G2" s="2">
        <v>1.45</v>
      </c>
      <c r="H2" s="2">
        <v>1.5</v>
      </c>
      <c r="I2" s="2">
        <v>1.55</v>
      </c>
      <c r="J2" s="2">
        <v>1.62</v>
      </c>
      <c r="K2" s="2">
        <v>1.19</v>
      </c>
      <c r="L2" s="2">
        <v>1.34</v>
      </c>
      <c r="M2" s="2">
        <v>1.2</v>
      </c>
      <c r="N2" s="2">
        <v>1.37</v>
      </c>
      <c r="O2" s="2">
        <v>1.24</v>
      </c>
      <c r="P2" s="8">
        <v>1.1100000000000001</v>
      </c>
      <c r="Q2" s="11">
        <f>AVERAGE(B2:P2)</f>
        <v>1.4286666666666668</v>
      </c>
    </row>
    <row r="3" spans="1:17" x14ac:dyDescent="0.25">
      <c r="A3" s="1" t="s">
        <v>2</v>
      </c>
      <c r="B3" s="2">
        <v>1.5</v>
      </c>
      <c r="C3" s="2">
        <v>1.53</v>
      </c>
      <c r="D3" s="2">
        <v>1.69</v>
      </c>
      <c r="E3" s="2">
        <v>1.73</v>
      </c>
      <c r="F3" s="2">
        <v>1.57</v>
      </c>
      <c r="G3" s="2">
        <v>1.44</v>
      </c>
      <c r="H3" s="2">
        <v>1.72</v>
      </c>
      <c r="I3" s="2">
        <v>1.63</v>
      </c>
      <c r="J3" s="2">
        <v>1.51</v>
      </c>
      <c r="K3" s="2">
        <v>1.3</v>
      </c>
      <c r="L3" s="2">
        <v>1.34</v>
      </c>
      <c r="M3" s="2">
        <v>1.22</v>
      </c>
      <c r="N3" s="2">
        <v>1.48</v>
      </c>
      <c r="O3" s="2">
        <v>1.03</v>
      </c>
      <c r="P3" s="8">
        <v>1.1100000000000001</v>
      </c>
      <c r="Q3" s="11">
        <f t="shared" ref="Q3:Q23" si="0">AVERAGE(B3:P3)</f>
        <v>1.4533333333333336</v>
      </c>
    </row>
    <row r="4" spans="1:17" x14ac:dyDescent="0.25">
      <c r="A4" s="1" t="s">
        <v>3</v>
      </c>
      <c r="B4" s="2">
        <v>1.65</v>
      </c>
      <c r="C4" s="2">
        <v>1.3</v>
      </c>
      <c r="D4" s="2">
        <v>1.7</v>
      </c>
      <c r="E4" s="2">
        <v>1.48</v>
      </c>
      <c r="F4" s="2">
        <v>1.68</v>
      </c>
      <c r="G4" s="2">
        <v>1.36</v>
      </c>
      <c r="H4" s="2">
        <v>1.68</v>
      </c>
      <c r="I4" s="2">
        <v>1.42</v>
      </c>
      <c r="J4" s="2">
        <v>1.64</v>
      </c>
      <c r="K4" s="2">
        <v>1.26</v>
      </c>
      <c r="L4" s="2">
        <v>1.52</v>
      </c>
      <c r="M4" s="2">
        <v>1.18</v>
      </c>
      <c r="N4" s="2">
        <v>1.45</v>
      </c>
      <c r="O4" s="2">
        <v>1.1100000000000001</v>
      </c>
      <c r="P4" s="8">
        <v>1.1299999999999999</v>
      </c>
      <c r="Q4" s="11">
        <f t="shared" si="0"/>
        <v>1.4373333333333334</v>
      </c>
    </row>
    <row r="5" spans="1:17" x14ac:dyDescent="0.25">
      <c r="A5" s="1" t="s">
        <v>4</v>
      </c>
      <c r="B5" s="2">
        <v>1.69</v>
      </c>
      <c r="C5" s="2">
        <v>1.38</v>
      </c>
      <c r="D5" s="2">
        <v>1.74</v>
      </c>
      <c r="E5" s="2">
        <v>1.75</v>
      </c>
      <c r="F5" s="2">
        <v>1.6</v>
      </c>
      <c r="G5" s="2">
        <v>1.35</v>
      </c>
      <c r="H5" s="2">
        <v>1.55</v>
      </c>
      <c r="I5" s="2">
        <v>1.58</v>
      </c>
      <c r="J5" s="2">
        <v>1.39</v>
      </c>
      <c r="K5" s="2">
        <v>1.28</v>
      </c>
      <c r="L5" s="2">
        <v>1.45</v>
      </c>
      <c r="M5" s="2">
        <v>1.29</v>
      </c>
      <c r="N5" s="2">
        <v>1.3</v>
      </c>
      <c r="O5" s="2">
        <v>1.1200000000000001</v>
      </c>
      <c r="P5" s="8">
        <v>1.23</v>
      </c>
      <c r="Q5" s="11">
        <f t="shared" si="0"/>
        <v>1.4466666666666668</v>
      </c>
    </row>
    <row r="6" spans="1:17" x14ac:dyDescent="0.25">
      <c r="A6" s="1" t="s">
        <v>5</v>
      </c>
      <c r="B6" s="2">
        <v>1.79</v>
      </c>
      <c r="C6" s="2">
        <v>1.31</v>
      </c>
      <c r="D6" s="2">
        <v>1.63</v>
      </c>
      <c r="E6" s="2">
        <v>1.81</v>
      </c>
      <c r="F6" s="2">
        <v>1.7</v>
      </c>
      <c r="G6" s="2">
        <v>1.39</v>
      </c>
      <c r="H6" s="2">
        <v>1.52</v>
      </c>
      <c r="I6" s="2">
        <v>1.57</v>
      </c>
      <c r="J6" s="2">
        <v>1.48</v>
      </c>
      <c r="K6" s="2">
        <v>1.39</v>
      </c>
      <c r="L6" s="2">
        <v>1.4</v>
      </c>
      <c r="M6" s="2">
        <v>1.08</v>
      </c>
      <c r="N6" s="2">
        <v>1.49</v>
      </c>
      <c r="O6" s="2">
        <v>1.08</v>
      </c>
      <c r="P6" s="8">
        <v>1.04</v>
      </c>
      <c r="Q6" s="11">
        <f t="shared" si="0"/>
        <v>1.4453333333333334</v>
      </c>
    </row>
    <row r="7" spans="1:17" x14ac:dyDescent="0.25">
      <c r="A7" s="1" t="s">
        <v>6</v>
      </c>
      <c r="B7" s="2">
        <v>1.59</v>
      </c>
      <c r="C7" s="2">
        <v>1.38</v>
      </c>
      <c r="D7" s="2">
        <v>1.54</v>
      </c>
      <c r="E7" s="2">
        <v>1.71</v>
      </c>
      <c r="F7" s="2">
        <v>1.74</v>
      </c>
      <c r="G7" s="2">
        <v>1.31</v>
      </c>
      <c r="H7" s="2">
        <v>1.57</v>
      </c>
      <c r="I7" s="2">
        <v>1.46</v>
      </c>
      <c r="J7" s="2">
        <v>1.57</v>
      </c>
      <c r="K7" s="2">
        <v>1.36</v>
      </c>
      <c r="L7" s="2">
        <v>1.44</v>
      </c>
      <c r="M7" s="2">
        <v>1.1599999999999999</v>
      </c>
      <c r="N7" s="2">
        <v>1.36</v>
      </c>
      <c r="O7" s="2">
        <v>1.1200000000000001</v>
      </c>
      <c r="P7" s="8">
        <v>0.97</v>
      </c>
      <c r="Q7" s="11">
        <f t="shared" si="0"/>
        <v>1.4186666666666667</v>
      </c>
    </row>
    <row r="8" spans="1:17" x14ac:dyDescent="0.25">
      <c r="A8" s="1" t="s">
        <v>7</v>
      </c>
      <c r="B8" s="2">
        <v>1.61</v>
      </c>
      <c r="C8" s="2">
        <v>1.45</v>
      </c>
      <c r="D8" s="2">
        <v>1.71</v>
      </c>
      <c r="E8" s="2">
        <v>1.65</v>
      </c>
      <c r="F8" s="2">
        <v>1.84</v>
      </c>
      <c r="G8" s="2">
        <v>1.37</v>
      </c>
      <c r="H8" s="2">
        <v>1.59</v>
      </c>
      <c r="I8" s="2">
        <v>1.48</v>
      </c>
      <c r="J8" s="2">
        <v>1.54</v>
      </c>
      <c r="K8" s="2">
        <v>1.25</v>
      </c>
      <c r="L8" s="2">
        <v>1.34</v>
      </c>
      <c r="M8" s="2">
        <v>1.33</v>
      </c>
      <c r="N8" s="2">
        <v>1.38</v>
      </c>
      <c r="O8" s="2">
        <v>1.1100000000000001</v>
      </c>
      <c r="P8" s="8">
        <v>1.05</v>
      </c>
      <c r="Q8" s="11">
        <f t="shared" si="0"/>
        <v>1.4466666666666663</v>
      </c>
    </row>
    <row r="9" spans="1:17" x14ac:dyDescent="0.25">
      <c r="A9" s="1" t="s">
        <v>8</v>
      </c>
      <c r="B9" s="2">
        <v>0.95</v>
      </c>
      <c r="C9" s="2">
        <v>0.31</v>
      </c>
      <c r="D9" s="2">
        <v>0.68</v>
      </c>
      <c r="E9" s="2">
        <v>0.95</v>
      </c>
      <c r="F9" s="2">
        <v>0.66</v>
      </c>
      <c r="G9" s="2">
        <v>0.28000000000000003</v>
      </c>
      <c r="H9" s="2">
        <v>0.83</v>
      </c>
      <c r="I9" s="2">
        <v>0.62</v>
      </c>
      <c r="J9" s="2">
        <v>0.68</v>
      </c>
      <c r="K9" s="2">
        <v>0.41</v>
      </c>
      <c r="L9" s="2">
        <v>1.03</v>
      </c>
      <c r="M9" s="2">
        <v>0.67</v>
      </c>
      <c r="N9" s="2">
        <v>0.59</v>
      </c>
      <c r="O9" s="2">
        <v>0.4</v>
      </c>
      <c r="P9" s="8">
        <v>0.39</v>
      </c>
      <c r="Q9" s="11">
        <f t="shared" si="0"/>
        <v>0.63000000000000012</v>
      </c>
    </row>
    <row r="10" spans="1:17" x14ac:dyDescent="0.25">
      <c r="A10" s="1" t="s">
        <v>9</v>
      </c>
      <c r="B10" s="2">
        <v>0.85</v>
      </c>
      <c r="C10" s="2">
        <v>0.74</v>
      </c>
      <c r="D10" s="2">
        <v>1.58</v>
      </c>
      <c r="E10" s="2">
        <v>0.92</v>
      </c>
      <c r="F10" s="2">
        <v>0.67</v>
      </c>
      <c r="G10" s="2">
        <v>0.62</v>
      </c>
      <c r="H10" s="2">
        <v>0.97</v>
      </c>
      <c r="I10" s="2">
        <v>0.93</v>
      </c>
      <c r="J10" s="2">
        <v>0.97</v>
      </c>
      <c r="K10" s="2">
        <v>0.4</v>
      </c>
      <c r="L10" s="2">
        <v>0.82</v>
      </c>
      <c r="M10" s="2">
        <v>0.34</v>
      </c>
      <c r="N10" s="2">
        <v>0.5</v>
      </c>
      <c r="O10" s="2">
        <v>0.31</v>
      </c>
      <c r="P10" s="8">
        <v>0.34</v>
      </c>
      <c r="Q10" s="11">
        <f t="shared" si="0"/>
        <v>0.73066666666666669</v>
      </c>
    </row>
    <row r="11" spans="1:17" x14ac:dyDescent="0.25">
      <c r="A11" s="1" t="s">
        <v>10</v>
      </c>
      <c r="B11" s="2">
        <v>1.17</v>
      </c>
      <c r="C11" s="2">
        <v>0.28000000000000003</v>
      </c>
      <c r="D11" s="2">
        <v>0.98</v>
      </c>
      <c r="E11" s="2">
        <v>1.39</v>
      </c>
      <c r="F11" s="2">
        <v>1.18</v>
      </c>
      <c r="G11" s="2">
        <v>0.43</v>
      </c>
      <c r="H11" s="2">
        <v>0.78</v>
      </c>
      <c r="I11" s="2">
        <v>0.9</v>
      </c>
      <c r="J11" s="2">
        <v>0.89</v>
      </c>
      <c r="K11" s="2">
        <v>0.34</v>
      </c>
      <c r="L11" s="2">
        <v>0.86</v>
      </c>
      <c r="M11" s="2">
        <v>0.33</v>
      </c>
      <c r="N11" s="2">
        <v>0.89</v>
      </c>
      <c r="O11" s="2">
        <v>0.4</v>
      </c>
      <c r="P11" s="8">
        <v>0.34</v>
      </c>
      <c r="Q11" s="11">
        <f t="shared" si="0"/>
        <v>0.74399999999999999</v>
      </c>
    </row>
    <row r="12" spans="1:17" x14ac:dyDescent="0.25">
      <c r="A12" s="1" t="s">
        <v>11</v>
      </c>
      <c r="B12" s="2">
        <v>0.56999999999999995</v>
      </c>
      <c r="C12" s="2">
        <v>0.51</v>
      </c>
      <c r="D12" s="2">
        <v>1.41</v>
      </c>
      <c r="E12" s="2">
        <v>1.29</v>
      </c>
      <c r="F12" s="2">
        <v>1.04</v>
      </c>
      <c r="G12" s="2">
        <v>0.42</v>
      </c>
      <c r="H12" s="2">
        <v>0.45</v>
      </c>
      <c r="I12" s="2">
        <v>0.67</v>
      </c>
      <c r="J12" s="2">
        <v>1.1200000000000001</v>
      </c>
      <c r="K12" s="2">
        <v>0.48</v>
      </c>
      <c r="L12" s="2">
        <v>0.89</v>
      </c>
      <c r="M12" s="2">
        <v>0.54</v>
      </c>
      <c r="N12" s="2">
        <v>1.03</v>
      </c>
      <c r="O12" s="2">
        <v>0.38</v>
      </c>
      <c r="P12" s="8">
        <v>0.38</v>
      </c>
      <c r="Q12" s="11">
        <f t="shared" si="0"/>
        <v>0.7453333333333334</v>
      </c>
    </row>
    <row r="13" spans="1:17" x14ac:dyDescent="0.25">
      <c r="A13" s="1" t="s">
        <v>12</v>
      </c>
      <c r="B13" s="2">
        <v>1.0900000000000001</v>
      </c>
      <c r="C13" s="2">
        <v>0.4</v>
      </c>
      <c r="D13" s="2">
        <v>0.56000000000000005</v>
      </c>
      <c r="E13" s="2">
        <v>1.41</v>
      </c>
      <c r="F13" s="2">
        <v>0.97</v>
      </c>
      <c r="G13" s="2">
        <v>0.51</v>
      </c>
      <c r="H13" s="2">
        <v>1</v>
      </c>
      <c r="I13" s="2">
        <v>1.0900000000000001</v>
      </c>
      <c r="J13" s="2">
        <v>1.18</v>
      </c>
      <c r="K13" s="2">
        <v>0.28000000000000003</v>
      </c>
      <c r="L13" s="2">
        <v>0.61</v>
      </c>
      <c r="M13" s="2">
        <v>0.46</v>
      </c>
      <c r="N13" s="2">
        <v>0.72</v>
      </c>
      <c r="O13" s="2">
        <v>0.28000000000000003</v>
      </c>
      <c r="P13" s="8">
        <v>0.38</v>
      </c>
      <c r="Q13" s="11">
        <f t="shared" si="0"/>
        <v>0.72933333333333328</v>
      </c>
    </row>
    <row r="14" spans="1:17" x14ac:dyDescent="0.25">
      <c r="A14" s="1" t="s">
        <v>13</v>
      </c>
      <c r="B14" s="2">
        <v>0.95</v>
      </c>
      <c r="C14" s="2">
        <v>0.4</v>
      </c>
      <c r="D14" s="2">
        <v>1.07</v>
      </c>
      <c r="E14" s="2">
        <v>0.88</v>
      </c>
      <c r="F14" s="2">
        <v>0.94</v>
      </c>
      <c r="G14" s="2">
        <v>0.56000000000000005</v>
      </c>
      <c r="H14" s="2">
        <v>0.61</v>
      </c>
      <c r="I14" s="2">
        <v>1.19</v>
      </c>
      <c r="J14" s="2">
        <v>1.1499999999999999</v>
      </c>
      <c r="K14" s="2">
        <v>0.33</v>
      </c>
      <c r="L14" s="2">
        <v>0.42</v>
      </c>
      <c r="M14" s="2">
        <v>0.41</v>
      </c>
      <c r="N14" s="2">
        <v>0.9</v>
      </c>
      <c r="O14" s="2">
        <v>0.56000000000000005</v>
      </c>
      <c r="P14" s="8">
        <v>0.18</v>
      </c>
      <c r="Q14" s="11">
        <f t="shared" si="0"/>
        <v>0.70333333333333348</v>
      </c>
    </row>
    <row r="15" spans="1:17" x14ac:dyDescent="0.25">
      <c r="A15" s="1" t="s">
        <v>14</v>
      </c>
      <c r="B15" s="2">
        <v>1.06</v>
      </c>
      <c r="C15" s="2">
        <v>0.56000000000000005</v>
      </c>
      <c r="D15" s="2">
        <v>1.32</v>
      </c>
      <c r="E15" s="2">
        <v>1.24</v>
      </c>
      <c r="F15" s="2">
        <v>0.87</v>
      </c>
      <c r="G15" s="2">
        <v>0.36</v>
      </c>
      <c r="H15" s="2">
        <v>0.86</v>
      </c>
      <c r="I15" s="2">
        <v>0.87</v>
      </c>
      <c r="J15" s="2">
        <v>0.63</v>
      </c>
      <c r="K15" s="2">
        <v>0.55000000000000004</v>
      </c>
      <c r="L15" s="2">
        <v>0.93</v>
      </c>
      <c r="M15" s="2">
        <v>0.31</v>
      </c>
      <c r="N15" s="2">
        <v>0.99</v>
      </c>
      <c r="O15" s="2">
        <v>0.13</v>
      </c>
      <c r="P15" s="8">
        <v>0.36</v>
      </c>
      <c r="Q15" s="11">
        <f t="shared" si="0"/>
        <v>0.73600000000000021</v>
      </c>
    </row>
    <row r="16" spans="1:17" x14ac:dyDescent="0.25">
      <c r="A16" s="1" t="s">
        <v>15</v>
      </c>
      <c r="B16" s="2">
        <v>1.34</v>
      </c>
      <c r="C16" s="2">
        <v>0.93</v>
      </c>
      <c r="D16" s="2">
        <v>1.63</v>
      </c>
      <c r="E16" s="2">
        <v>1.33</v>
      </c>
      <c r="F16" s="2">
        <v>1.46</v>
      </c>
      <c r="G16" s="2">
        <v>0.85</v>
      </c>
      <c r="H16" s="2">
        <v>1.48</v>
      </c>
      <c r="I16" s="2">
        <v>1.24</v>
      </c>
      <c r="J16" s="2">
        <v>1.02</v>
      </c>
      <c r="K16" s="2">
        <v>0.75</v>
      </c>
      <c r="L16" s="2">
        <v>1.39</v>
      </c>
      <c r="M16" s="2">
        <v>0.69</v>
      </c>
      <c r="N16" s="2">
        <v>1.07</v>
      </c>
      <c r="O16" s="2">
        <v>0.87</v>
      </c>
      <c r="P16" s="8">
        <v>0.73</v>
      </c>
      <c r="Q16" s="11">
        <f t="shared" si="0"/>
        <v>1.1186666666666667</v>
      </c>
    </row>
    <row r="17" spans="1:17" x14ac:dyDescent="0.25">
      <c r="A17" s="1" t="s">
        <v>16</v>
      </c>
      <c r="B17" s="2">
        <v>1.36</v>
      </c>
      <c r="C17" s="2">
        <v>0.95</v>
      </c>
      <c r="D17" s="2">
        <v>1.1399999999999999</v>
      </c>
      <c r="E17" s="2">
        <v>1.46</v>
      </c>
      <c r="F17" s="2">
        <v>1.4</v>
      </c>
      <c r="G17" s="2">
        <v>0.93</v>
      </c>
      <c r="H17" s="2">
        <v>1.32</v>
      </c>
      <c r="I17" s="2">
        <v>0.75</v>
      </c>
      <c r="J17" s="2">
        <v>1.0900000000000001</v>
      </c>
      <c r="K17" s="2">
        <v>0.86</v>
      </c>
      <c r="L17" s="2">
        <v>1.19</v>
      </c>
      <c r="M17" s="2">
        <v>0.6</v>
      </c>
      <c r="N17" s="2">
        <v>1.05</v>
      </c>
      <c r="O17" s="2">
        <v>0.73</v>
      </c>
      <c r="P17" s="8">
        <v>0.88</v>
      </c>
      <c r="Q17" s="11">
        <f t="shared" si="0"/>
        <v>1.0473333333333334</v>
      </c>
    </row>
    <row r="18" spans="1:17" x14ac:dyDescent="0.25">
      <c r="A18" s="1" t="s">
        <v>17</v>
      </c>
      <c r="B18" s="2">
        <v>1.61</v>
      </c>
      <c r="C18" s="2">
        <v>1.1100000000000001</v>
      </c>
      <c r="D18" s="2">
        <v>1.56</v>
      </c>
      <c r="E18" s="2">
        <v>1.44</v>
      </c>
      <c r="F18" s="2">
        <v>1.5</v>
      </c>
      <c r="G18" s="2">
        <v>0.92</v>
      </c>
      <c r="H18" s="2">
        <v>1.63</v>
      </c>
      <c r="I18" s="2">
        <v>1.1399999999999999</v>
      </c>
      <c r="J18" s="2">
        <v>1.4</v>
      </c>
      <c r="K18" s="2">
        <v>0.71</v>
      </c>
      <c r="L18" s="2">
        <v>1.4</v>
      </c>
      <c r="M18" s="2">
        <v>0.76</v>
      </c>
      <c r="N18" s="2">
        <v>1.19</v>
      </c>
      <c r="O18" s="2">
        <v>0.68</v>
      </c>
      <c r="P18" s="8">
        <v>0.81</v>
      </c>
      <c r="Q18" s="11">
        <f>AVERAGE(B18:P18)</f>
        <v>1.1906666666666665</v>
      </c>
    </row>
    <row r="19" spans="1:17" x14ac:dyDescent="0.25">
      <c r="A19" s="1" t="s">
        <v>18</v>
      </c>
      <c r="B19" s="2">
        <v>1.41</v>
      </c>
      <c r="C19" s="2">
        <v>0.92</v>
      </c>
      <c r="D19" s="2">
        <v>0.96</v>
      </c>
      <c r="E19" s="2">
        <v>1.29</v>
      </c>
      <c r="F19" s="2">
        <v>1.37</v>
      </c>
      <c r="G19" s="2">
        <v>0.95</v>
      </c>
      <c r="H19" s="2">
        <v>1.59</v>
      </c>
      <c r="I19" s="2">
        <v>1.23</v>
      </c>
      <c r="J19" s="2">
        <v>1.1200000000000001</v>
      </c>
      <c r="K19" s="2">
        <v>0.77</v>
      </c>
      <c r="L19" s="2">
        <v>1.1100000000000001</v>
      </c>
      <c r="M19" s="2">
        <v>0.87</v>
      </c>
      <c r="N19" s="2">
        <v>0.97</v>
      </c>
      <c r="O19" s="2">
        <v>0.85</v>
      </c>
      <c r="P19" s="8">
        <v>0.66</v>
      </c>
      <c r="Q19" s="11">
        <f t="shared" si="0"/>
        <v>1.071333333333333</v>
      </c>
    </row>
    <row r="20" spans="1:17" x14ac:dyDescent="0.25">
      <c r="A20" s="1" t="s">
        <v>19</v>
      </c>
      <c r="B20" s="2">
        <v>1.51</v>
      </c>
      <c r="C20" s="2">
        <v>0.91</v>
      </c>
      <c r="D20" s="2">
        <v>1.44</v>
      </c>
      <c r="E20" s="2">
        <v>1.37</v>
      </c>
      <c r="F20" s="2">
        <v>1.42</v>
      </c>
      <c r="G20" s="2">
        <v>1.02</v>
      </c>
      <c r="H20" s="2">
        <v>1.0900000000000001</v>
      </c>
      <c r="I20" s="2">
        <v>1.23</v>
      </c>
      <c r="J20" s="2">
        <v>1.43</v>
      </c>
      <c r="K20" s="2">
        <v>1.21</v>
      </c>
      <c r="L20" s="2">
        <v>0.99</v>
      </c>
      <c r="M20" s="2">
        <v>0.81</v>
      </c>
      <c r="N20" s="2">
        <v>1.1599999999999999</v>
      </c>
      <c r="O20" s="2">
        <v>0.76</v>
      </c>
      <c r="P20" s="8">
        <v>0.87</v>
      </c>
      <c r="Q20" s="11">
        <f t="shared" si="0"/>
        <v>1.1480000000000001</v>
      </c>
    </row>
    <row r="21" spans="1:17" x14ac:dyDescent="0.25">
      <c r="A21" s="1" t="s">
        <v>20</v>
      </c>
      <c r="B21" s="2">
        <v>1.1100000000000001</v>
      </c>
      <c r="C21" s="2">
        <v>1.1200000000000001</v>
      </c>
      <c r="D21" s="2">
        <v>1.58</v>
      </c>
      <c r="E21" s="2">
        <v>1.59</v>
      </c>
      <c r="F21" s="2">
        <v>1.47</v>
      </c>
      <c r="G21" s="2">
        <v>0.87</v>
      </c>
      <c r="H21" s="2">
        <v>1.48</v>
      </c>
      <c r="I21" s="2">
        <v>1.54</v>
      </c>
      <c r="J21" s="2">
        <v>1.29</v>
      </c>
      <c r="K21" s="2">
        <v>0.84</v>
      </c>
      <c r="L21" s="2">
        <v>1.33</v>
      </c>
      <c r="M21" s="2">
        <v>0.76</v>
      </c>
      <c r="N21" s="2">
        <v>1.06</v>
      </c>
      <c r="O21" s="2">
        <v>0.74</v>
      </c>
      <c r="P21" s="8">
        <v>0.69</v>
      </c>
      <c r="Q21" s="11">
        <f t="shared" si="0"/>
        <v>1.1646666666666665</v>
      </c>
    </row>
    <row r="22" spans="1:17" x14ac:dyDescent="0.25">
      <c r="A22" s="1" t="s">
        <v>21</v>
      </c>
      <c r="B22" s="2">
        <v>1.58</v>
      </c>
      <c r="C22" s="2">
        <v>0.82</v>
      </c>
      <c r="D22" s="2">
        <v>1.34</v>
      </c>
      <c r="E22" s="2">
        <v>1.38</v>
      </c>
      <c r="F22" s="2">
        <v>1.38</v>
      </c>
      <c r="G22" s="2">
        <v>0.84</v>
      </c>
      <c r="H22" s="2">
        <v>1.4</v>
      </c>
      <c r="I22" s="2">
        <v>1.46</v>
      </c>
      <c r="J22" s="2">
        <v>1.1299999999999999</v>
      </c>
      <c r="K22" s="2">
        <v>1.03</v>
      </c>
      <c r="L22" s="2">
        <v>1.01</v>
      </c>
      <c r="M22" s="2">
        <v>1.02</v>
      </c>
      <c r="N22" s="2">
        <v>1.28</v>
      </c>
      <c r="O22" s="2">
        <v>0.8</v>
      </c>
      <c r="P22" s="8">
        <v>0.78</v>
      </c>
      <c r="Q22" s="11">
        <f t="shared" si="0"/>
        <v>1.1499999999999997</v>
      </c>
    </row>
    <row r="23" spans="1:17" x14ac:dyDescent="0.25">
      <c r="A23" s="3" t="s">
        <v>22</v>
      </c>
      <c r="B23" s="4">
        <v>1.33</v>
      </c>
      <c r="C23" s="4">
        <v>0.94</v>
      </c>
      <c r="D23" s="4">
        <v>1.38</v>
      </c>
      <c r="E23" s="4">
        <v>1.42</v>
      </c>
      <c r="F23" s="4">
        <v>1.34</v>
      </c>
      <c r="G23" s="4">
        <v>0.92</v>
      </c>
      <c r="H23" s="4">
        <v>1.27</v>
      </c>
      <c r="I23" s="4">
        <v>1.22</v>
      </c>
      <c r="J23" s="4">
        <v>1.23</v>
      </c>
      <c r="K23" s="4">
        <v>0.86</v>
      </c>
      <c r="L23" s="4">
        <v>1.1299999999999999</v>
      </c>
      <c r="M23" s="4">
        <v>0.81</v>
      </c>
      <c r="N23" s="4">
        <v>1.1100000000000001</v>
      </c>
      <c r="O23" s="4">
        <v>0.75</v>
      </c>
      <c r="P23" s="9">
        <v>0.73</v>
      </c>
      <c r="Q23" s="11">
        <f t="shared" si="0"/>
        <v>1.0959999999999999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D308-DBAF-4B49-960C-D5F53217EDA2}">
  <sheetPr codeName="Sheet4"/>
  <dimension ref="A1:L23"/>
  <sheetViews>
    <sheetView workbookViewId="0">
      <selection activeCell="L23" sqref="L23"/>
    </sheetView>
  </sheetViews>
  <sheetFormatPr defaultRowHeight="15" x14ac:dyDescent="0.25"/>
  <cols>
    <col min="1" max="1" width="22.5703125" customWidth="1"/>
    <col min="12" max="12" width="12.28515625" customWidth="1"/>
    <col min="16" max="16" width="10.85546875" customWidth="1"/>
    <col min="17" max="17" width="16.28515625" customWidth="1"/>
  </cols>
  <sheetData>
    <row r="1" spans="1:12" x14ac:dyDescent="0.25">
      <c r="A1" s="5" t="s">
        <v>0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  <c r="K1" s="7" t="s">
        <v>45</v>
      </c>
      <c r="L1" s="10" t="s">
        <v>46</v>
      </c>
    </row>
    <row r="2" spans="1:12" x14ac:dyDescent="0.25">
      <c r="A2" s="1" t="s">
        <v>1</v>
      </c>
      <c r="B2" s="2">
        <v>1.45</v>
      </c>
      <c r="C2" s="2">
        <v>1.5</v>
      </c>
      <c r="D2" s="2">
        <v>1.55</v>
      </c>
      <c r="E2" s="2">
        <v>1.62</v>
      </c>
      <c r="F2" s="2">
        <v>1.19</v>
      </c>
      <c r="G2" s="2">
        <v>1.34</v>
      </c>
      <c r="H2" s="2">
        <v>1.2</v>
      </c>
      <c r="I2" s="2">
        <v>1.37</v>
      </c>
      <c r="J2" s="2">
        <v>1.24</v>
      </c>
      <c r="K2" s="8">
        <v>1.1100000000000001</v>
      </c>
      <c r="L2" s="11">
        <f t="shared" ref="L2:L23" si="0">AVERAGE(B2:K2)</f>
        <v>1.3569999999999998</v>
      </c>
    </row>
    <row r="3" spans="1:12" x14ac:dyDescent="0.25">
      <c r="A3" s="1" t="s">
        <v>2</v>
      </c>
      <c r="B3" s="2">
        <v>1.44</v>
      </c>
      <c r="C3" s="2">
        <v>1.72</v>
      </c>
      <c r="D3" s="2">
        <v>1.63</v>
      </c>
      <c r="E3" s="2">
        <v>1.51</v>
      </c>
      <c r="F3" s="2">
        <v>1.3</v>
      </c>
      <c r="G3" s="2">
        <v>1.34</v>
      </c>
      <c r="H3" s="2">
        <v>1.22</v>
      </c>
      <c r="I3" s="2">
        <v>1.48</v>
      </c>
      <c r="J3" s="2">
        <v>1.03</v>
      </c>
      <c r="K3" s="8">
        <v>1.1100000000000001</v>
      </c>
      <c r="L3" s="11">
        <f t="shared" si="0"/>
        <v>1.3779999999999999</v>
      </c>
    </row>
    <row r="4" spans="1:12" x14ac:dyDescent="0.25">
      <c r="A4" s="1" t="s">
        <v>3</v>
      </c>
      <c r="B4" s="2">
        <v>1.36</v>
      </c>
      <c r="C4" s="2">
        <v>1.68</v>
      </c>
      <c r="D4" s="2">
        <v>1.42</v>
      </c>
      <c r="E4" s="2">
        <v>1.64</v>
      </c>
      <c r="F4" s="2">
        <v>1.26</v>
      </c>
      <c r="G4" s="2">
        <v>1.52</v>
      </c>
      <c r="H4" s="2">
        <v>1.18</v>
      </c>
      <c r="I4" s="2">
        <v>1.45</v>
      </c>
      <c r="J4" s="2">
        <v>1.1100000000000001</v>
      </c>
      <c r="K4" s="8">
        <v>1.1299999999999999</v>
      </c>
      <c r="L4" s="11">
        <f t="shared" si="0"/>
        <v>1.3749999999999996</v>
      </c>
    </row>
    <row r="5" spans="1:12" x14ac:dyDescent="0.25">
      <c r="A5" s="1" t="s">
        <v>4</v>
      </c>
      <c r="B5" s="2">
        <v>1.35</v>
      </c>
      <c r="C5" s="2">
        <v>1.55</v>
      </c>
      <c r="D5" s="2">
        <v>1.58</v>
      </c>
      <c r="E5" s="2">
        <v>1.39</v>
      </c>
      <c r="F5" s="2">
        <v>1.28</v>
      </c>
      <c r="G5" s="2">
        <v>1.45</v>
      </c>
      <c r="H5" s="2">
        <v>1.29</v>
      </c>
      <c r="I5" s="2">
        <v>1.3</v>
      </c>
      <c r="J5" s="2">
        <v>1.1200000000000001</v>
      </c>
      <c r="K5" s="8">
        <v>1.23</v>
      </c>
      <c r="L5" s="11">
        <f t="shared" si="0"/>
        <v>1.3540000000000003</v>
      </c>
    </row>
    <row r="6" spans="1:12" x14ac:dyDescent="0.25">
      <c r="A6" s="1" t="s">
        <v>5</v>
      </c>
      <c r="B6" s="2">
        <v>1.39</v>
      </c>
      <c r="C6" s="2">
        <v>1.52</v>
      </c>
      <c r="D6" s="2">
        <v>1.57</v>
      </c>
      <c r="E6" s="2">
        <v>1.48</v>
      </c>
      <c r="F6" s="2">
        <v>1.39</v>
      </c>
      <c r="G6" s="2">
        <v>1.4</v>
      </c>
      <c r="H6" s="2">
        <v>1.08</v>
      </c>
      <c r="I6" s="2">
        <v>1.49</v>
      </c>
      <c r="J6" s="2">
        <v>1.08</v>
      </c>
      <c r="K6" s="8">
        <v>1.04</v>
      </c>
      <c r="L6" s="11">
        <f t="shared" si="0"/>
        <v>1.3440000000000001</v>
      </c>
    </row>
    <row r="7" spans="1:12" x14ac:dyDescent="0.25">
      <c r="A7" s="1" t="s">
        <v>6</v>
      </c>
      <c r="B7" s="2">
        <v>1.31</v>
      </c>
      <c r="C7" s="2">
        <v>1.57</v>
      </c>
      <c r="D7" s="2">
        <v>1.46</v>
      </c>
      <c r="E7" s="2">
        <v>1.57</v>
      </c>
      <c r="F7" s="2">
        <v>1.36</v>
      </c>
      <c r="G7" s="2">
        <v>1.44</v>
      </c>
      <c r="H7" s="2">
        <v>1.1599999999999999</v>
      </c>
      <c r="I7" s="2">
        <v>1.36</v>
      </c>
      <c r="J7" s="2">
        <v>1.1200000000000001</v>
      </c>
      <c r="K7" s="8">
        <v>0.97</v>
      </c>
      <c r="L7" s="11">
        <f t="shared" si="0"/>
        <v>1.3320000000000003</v>
      </c>
    </row>
    <row r="8" spans="1:12" x14ac:dyDescent="0.25">
      <c r="A8" s="1" t="s">
        <v>7</v>
      </c>
      <c r="B8" s="2">
        <v>1.37</v>
      </c>
      <c r="C8" s="2">
        <v>1.59</v>
      </c>
      <c r="D8" s="2">
        <v>1.48</v>
      </c>
      <c r="E8" s="2">
        <v>1.54</v>
      </c>
      <c r="F8" s="2">
        <v>1.25</v>
      </c>
      <c r="G8" s="2">
        <v>1.34</v>
      </c>
      <c r="H8" s="2">
        <v>1.33</v>
      </c>
      <c r="I8" s="2">
        <v>1.38</v>
      </c>
      <c r="J8" s="2">
        <v>1.1100000000000001</v>
      </c>
      <c r="K8" s="8">
        <v>1.05</v>
      </c>
      <c r="L8" s="11">
        <f t="shared" si="0"/>
        <v>1.3440000000000001</v>
      </c>
    </row>
    <row r="9" spans="1:12" x14ac:dyDescent="0.25">
      <c r="A9" s="1" t="s">
        <v>8</v>
      </c>
      <c r="B9" s="2">
        <v>0.28000000000000003</v>
      </c>
      <c r="C9" s="2">
        <v>0.83</v>
      </c>
      <c r="D9" s="2">
        <v>0.62</v>
      </c>
      <c r="E9" s="2">
        <v>0.68</v>
      </c>
      <c r="F9" s="2">
        <v>0.41</v>
      </c>
      <c r="G9" s="2">
        <v>1.03</v>
      </c>
      <c r="H9" s="2">
        <v>0.67</v>
      </c>
      <c r="I9" s="2">
        <v>0.59</v>
      </c>
      <c r="J9" s="2">
        <v>0.4</v>
      </c>
      <c r="K9" s="8">
        <v>0.39</v>
      </c>
      <c r="L9" s="11">
        <f t="shared" si="0"/>
        <v>0.59000000000000008</v>
      </c>
    </row>
    <row r="10" spans="1:12" x14ac:dyDescent="0.25">
      <c r="A10" s="1" t="s">
        <v>9</v>
      </c>
      <c r="B10" s="2">
        <v>0.62</v>
      </c>
      <c r="C10" s="2">
        <v>0.97</v>
      </c>
      <c r="D10" s="2">
        <v>0.93</v>
      </c>
      <c r="E10" s="2">
        <v>0.97</v>
      </c>
      <c r="F10" s="2">
        <v>0.4</v>
      </c>
      <c r="G10" s="2">
        <v>0.82</v>
      </c>
      <c r="H10" s="2">
        <v>0.34</v>
      </c>
      <c r="I10" s="2">
        <v>0.5</v>
      </c>
      <c r="J10" s="2">
        <v>0.31</v>
      </c>
      <c r="K10" s="8">
        <v>0.34</v>
      </c>
      <c r="L10" s="11">
        <f t="shared" si="0"/>
        <v>0.61999999999999988</v>
      </c>
    </row>
    <row r="11" spans="1:12" x14ac:dyDescent="0.25">
      <c r="A11" s="1" t="s">
        <v>10</v>
      </c>
      <c r="B11" s="2">
        <v>0.43</v>
      </c>
      <c r="C11" s="2">
        <v>0.78</v>
      </c>
      <c r="D11" s="2">
        <v>0.9</v>
      </c>
      <c r="E11" s="2">
        <v>0.89</v>
      </c>
      <c r="F11" s="2">
        <v>0.34</v>
      </c>
      <c r="G11" s="2">
        <v>0.86</v>
      </c>
      <c r="H11" s="2">
        <v>0.33</v>
      </c>
      <c r="I11" s="2">
        <v>0.89</v>
      </c>
      <c r="J11" s="2">
        <v>0.4</v>
      </c>
      <c r="K11" s="8">
        <v>0.34</v>
      </c>
      <c r="L11" s="11">
        <f t="shared" si="0"/>
        <v>0.61599999999999999</v>
      </c>
    </row>
    <row r="12" spans="1:12" x14ac:dyDescent="0.25">
      <c r="A12" s="1" t="s">
        <v>11</v>
      </c>
      <c r="B12" s="2">
        <v>0.42</v>
      </c>
      <c r="C12" s="2">
        <v>0.45</v>
      </c>
      <c r="D12" s="2">
        <v>0.67</v>
      </c>
      <c r="E12" s="2">
        <v>1.1200000000000001</v>
      </c>
      <c r="F12" s="2">
        <v>0.48</v>
      </c>
      <c r="G12" s="2">
        <v>0.89</v>
      </c>
      <c r="H12" s="2">
        <v>0.54</v>
      </c>
      <c r="I12" s="2">
        <v>1.03</v>
      </c>
      <c r="J12" s="2">
        <v>0.38</v>
      </c>
      <c r="K12" s="8">
        <v>0.38</v>
      </c>
      <c r="L12" s="11">
        <f t="shared" si="0"/>
        <v>0.63600000000000001</v>
      </c>
    </row>
    <row r="13" spans="1:12" x14ac:dyDescent="0.25">
      <c r="A13" s="1" t="s">
        <v>12</v>
      </c>
      <c r="B13" s="2">
        <v>0.51</v>
      </c>
      <c r="C13" s="2">
        <v>1</v>
      </c>
      <c r="D13" s="2">
        <v>1.0900000000000001</v>
      </c>
      <c r="E13" s="2">
        <v>1.18</v>
      </c>
      <c r="F13" s="2">
        <v>0.28000000000000003</v>
      </c>
      <c r="G13" s="2">
        <v>0.61</v>
      </c>
      <c r="H13" s="2">
        <v>0.46</v>
      </c>
      <c r="I13" s="2">
        <v>0.72</v>
      </c>
      <c r="J13" s="2">
        <v>0.28000000000000003</v>
      </c>
      <c r="K13" s="8">
        <v>0.38</v>
      </c>
      <c r="L13" s="11">
        <f t="shared" si="0"/>
        <v>0.65100000000000002</v>
      </c>
    </row>
    <row r="14" spans="1:12" x14ac:dyDescent="0.25">
      <c r="A14" s="1" t="s">
        <v>13</v>
      </c>
      <c r="B14" s="2">
        <v>0.56000000000000005</v>
      </c>
      <c r="C14" s="2">
        <v>0.61</v>
      </c>
      <c r="D14" s="2">
        <v>1.19</v>
      </c>
      <c r="E14" s="2">
        <v>1.1499999999999999</v>
      </c>
      <c r="F14" s="2">
        <v>0.33</v>
      </c>
      <c r="G14" s="2">
        <v>0.42</v>
      </c>
      <c r="H14" s="2">
        <v>0.41</v>
      </c>
      <c r="I14" s="2">
        <v>0.9</v>
      </c>
      <c r="J14" s="2">
        <v>0.56000000000000005</v>
      </c>
      <c r="K14" s="8">
        <v>0.18</v>
      </c>
      <c r="L14" s="11">
        <f t="shared" si="0"/>
        <v>0.63100000000000001</v>
      </c>
    </row>
    <row r="15" spans="1:12" x14ac:dyDescent="0.25">
      <c r="A15" s="1" t="s">
        <v>14</v>
      </c>
      <c r="B15" s="2">
        <v>0.36</v>
      </c>
      <c r="C15" s="2">
        <v>0.86</v>
      </c>
      <c r="D15" s="2">
        <v>0.87</v>
      </c>
      <c r="E15" s="2">
        <v>0.63</v>
      </c>
      <c r="F15" s="2">
        <v>0.55000000000000004</v>
      </c>
      <c r="G15" s="2">
        <v>0.93</v>
      </c>
      <c r="H15" s="2">
        <v>0.31</v>
      </c>
      <c r="I15" s="2">
        <v>0.99</v>
      </c>
      <c r="J15" s="2">
        <v>0.13</v>
      </c>
      <c r="K15" s="8">
        <v>0.36</v>
      </c>
      <c r="L15" s="11">
        <f t="shared" si="0"/>
        <v>0.59899999999999998</v>
      </c>
    </row>
    <row r="16" spans="1:12" x14ac:dyDescent="0.25">
      <c r="A16" s="1" t="s">
        <v>15</v>
      </c>
      <c r="B16" s="2">
        <v>0.85</v>
      </c>
      <c r="C16" s="2">
        <v>1.48</v>
      </c>
      <c r="D16" s="2">
        <v>1.24</v>
      </c>
      <c r="E16" s="2">
        <v>1.02</v>
      </c>
      <c r="F16" s="2">
        <v>0.75</v>
      </c>
      <c r="G16" s="2">
        <v>1.39</v>
      </c>
      <c r="H16" s="2">
        <v>0.69</v>
      </c>
      <c r="I16" s="2">
        <v>1.07</v>
      </c>
      <c r="J16" s="2">
        <v>0.87</v>
      </c>
      <c r="K16" s="8">
        <v>0.73</v>
      </c>
      <c r="L16" s="11">
        <f t="shared" si="0"/>
        <v>1.0089999999999999</v>
      </c>
    </row>
    <row r="17" spans="1:12" x14ac:dyDescent="0.25">
      <c r="A17" s="1" t="s">
        <v>16</v>
      </c>
      <c r="B17" s="2">
        <v>0.93</v>
      </c>
      <c r="C17" s="2">
        <v>1.32</v>
      </c>
      <c r="D17" s="2">
        <v>0.75</v>
      </c>
      <c r="E17" s="2">
        <v>1.0900000000000001</v>
      </c>
      <c r="F17" s="2">
        <v>0.86</v>
      </c>
      <c r="G17" s="2">
        <v>1.19</v>
      </c>
      <c r="H17" s="2">
        <v>0.6</v>
      </c>
      <c r="I17" s="2">
        <v>1.05</v>
      </c>
      <c r="J17" s="2">
        <v>0.73</v>
      </c>
      <c r="K17" s="8">
        <v>0.88</v>
      </c>
      <c r="L17" s="11">
        <f t="shared" si="0"/>
        <v>0.94000000000000006</v>
      </c>
    </row>
    <row r="18" spans="1:12" x14ac:dyDescent="0.25">
      <c r="A18" s="1" t="s">
        <v>17</v>
      </c>
      <c r="B18" s="2">
        <v>0.92</v>
      </c>
      <c r="C18" s="2">
        <v>1.63</v>
      </c>
      <c r="D18" s="2">
        <v>1.1399999999999999</v>
      </c>
      <c r="E18" s="2">
        <v>1.4</v>
      </c>
      <c r="F18" s="2">
        <v>0.71</v>
      </c>
      <c r="G18" s="2">
        <v>1.4</v>
      </c>
      <c r="H18" s="2">
        <v>0.76</v>
      </c>
      <c r="I18" s="2">
        <v>1.19</v>
      </c>
      <c r="J18" s="2">
        <v>0.68</v>
      </c>
      <c r="K18" s="8">
        <v>0.81</v>
      </c>
      <c r="L18" s="11">
        <f t="shared" si="0"/>
        <v>1.0639999999999998</v>
      </c>
    </row>
    <row r="19" spans="1:12" x14ac:dyDescent="0.25">
      <c r="A19" s="1" t="s">
        <v>18</v>
      </c>
      <c r="B19" s="2">
        <v>0.95</v>
      </c>
      <c r="C19" s="2">
        <v>1.59</v>
      </c>
      <c r="D19" s="2">
        <v>1.23</v>
      </c>
      <c r="E19" s="2">
        <v>1.1200000000000001</v>
      </c>
      <c r="F19" s="2">
        <v>0.77</v>
      </c>
      <c r="G19" s="2">
        <v>1.1100000000000001</v>
      </c>
      <c r="H19" s="2">
        <v>0.87</v>
      </c>
      <c r="I19" s="2">
        <v>0.97</v>
      </c>
      <c r="J19" s="2">
        <v>0.85</v>
      </c>
      <c r="K19" s="8">
        <v>0.66</v>
      </c>
      <c r="L19" s="11">
        <f t="shared" si="0"/>
        <v>1.012</v>
      </c>
    </row>
    <row r="20" spans="1:12" x14ac:dyDescent="0.25">
      <c r="A20" s="1" t="s">
        <v>19</v>
      </c>
      <c r="B20" s="2">
        <v>1.02</v>
      </c>
      <c r="C20" s="2">
        <v>1.0900000000000001</v>
      </c>
      <c r="D20" s="2">
        <v>1.23</v>
      </c>
      <c r="E20" s="2">
        <v>1.43</v>
      </c>
      <c r="F20" s="2">
        <v>1.21</v>
      </c>
      <c r="G20" s="2">
        <v>0.99</v>
      </c>
      <c r="H20" s="2">
        <v>0.81</v>
      </c>
      <c r="I20" s="2">
        <v>1.1599999999999999</v>
      </c>
      <c r="J20" s="2">
        <v>0.76</v>
      </c>
      <c r="K20" s="8">
        <v>0.87</v>
      </c>
      <c r="L20" s="11">
        <f t="shared" si="0"/>
        <v>1.0569999999999999</v>
      </c>
    </row>
    <row r="21" spans="1:12" x14ac:dyDescent="0.25">
      <c r="A21" s="1" t="s">
        <v>20</v>
      </c>
      <c r="B21" s="2">
        <v>0.87</v>
      </c>
      <c r="C21" s="2">
        <v>1.48</v>
      </c>
      <c r="D21" s="2">
        <v>1.54</v>
      </c>
      <c r="E21" s="2">
        <v>1.29</v>
      </c>
      <c r="F21" s="2">
        <v>0.84</v>
      </c>
      <c r="G21" s="2">
        <v>1.33</v>
      </c>
      <c r="H21" s="2">
        <v>0.76</v>
      </c>
      <c r="I21" s="2">
        <v>1.06</v>
      </c>
      <c r="J21" s="2">
        <v>0.74</v>
      </c>
      <c r="K21" s="8">
        <v>0.69</v>
      </c>
      <c r="L21" s="11">
        <f t="shared" si="0"/>
        <v>1.06</v>
      </c>
    </row>
    <row r="22" spans="1:12" x14ac:dyDescent="0.25">
      <c r="A22" s="1" t="s">
        <v>21</v>
      </c>
      <c r="B22" s="2">
        <v>0.84</v>
      </c>
      <c r="C22" s="2">
        <v>1.4</v>
      </c>
      <c r="D22" s="2">
        <v>1.46</v>
      </c>
      <c r="E22" s="2">
        <v>1.1299999999999999</v>
      </c>
      <c r="F22" s="2">
        <v>1.03</v>
      </c>
      <c r="G22" s="2">
        <v>1.01</v>
      </c>
      <c r="H22" s="2">
        <v>1.02</v>
      </c>
      <c r="I22" s="2">
        <v>1.28</v>
      </c>
      <c r="J22" s="2">
        <v>0.8</v>
      </c>
      <c r="K22" s="8">
        <v>0.78</v>
      </c>
      <c r="L22" s="11">
        <f t="shared" si="0"/>
        <v>1.075</v>
      </c>
    </row>
    <row r="23" spans="1:12" x14ac:dyDescent="0.25">
      <c r="A23" s="3" t="s">
        <v>22</v>
      </c>
      <c r="B23" s="4">
        <v>0.92</v>
      </c>
      <c r="C23" s="4">
        <v>1.27</v>
      </c>
      <c r="D23" s="4">
        <v>1.22</v>
      </c>
      <c r="E23" s="4">
        <v>1.23</v>
      </c>
      <c r="F23" s="4">
        <v>0.86</v>
      </c>
      <c r="G23" s="4">
        <v>1.1299999999999999</v>
      </c>
      <c r="H23" s="4">
        <v>0.81</v>
      </c>
      <c r="I23" s="4">
        <v>1.1100000000000001</v>
      </c>
      <c r="J23" s="4">
        <v>0.75</v>
      </c>
      <c r="K23" s="9">
        <v>0.73</v>
      </c>
      <c r="L23" s="11">
        <f t="shared" si="0"/>
        <v>1.0030000000000001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6C59-A659-407E-B4DE-9BBD59730DD5}">
  <sheetPr codeName="Sheet5"/>
  <dimension ref="A1:G23"/>
  <sheetViews>
    <sheetView topLeftCell="A4" workbookViewId="0">
      <selection activeCell="G23" sqref="G23"/>
    </sheetView>
  </sheetViews>
  <sheetFormatPr defaultRowHeight="15" x14ac:dyDescent="0.25"/>
  <cols>
    <col min="1" max="1" width="22.5703125" customWidth="1"/>
    <col min="7" max="7" width="13.28515625" customWidth="1"/>
    <col min="11" max="11" width="10.85546875" customWidth="1"/>
    <col min="12" max="12" width="16.28515625" customWidth="1"/>
  </cols>
  <sheetData>
    <row r="1" spans="1:7" x14ac:dyDescent="0.25">
      <c r="A1" s="5" t="s">
        <v>0</v>
      </c>
      <c r="B1" s="6" t="s">
        <v>41</v>
      </c>
      <c r="C1" s="6" t="s">
        <v>42</v>
      </c>
      <c r="D1" s="6" t="s">
        <v>43</v>
      </c>
      <c r="E1" s="6" t="s">
        <v>44</v>
      </c>
      <c r="F1" s="7" t="s">
        <v>45</v>
      </c>
      <c r="G1" s="10" t="s">
        <v>46</v>
      </c>
    </row>
    <row r="2" spans="1:7" x14ac:dyDescent="0.25">
      <c r="A2" s="1" t="s">
        <v>1</v>
      </c>
      <c r="B2" s="2">
        <v>1.34</v>
      </c>
      <c r="C2" s="2">
        <v>1.2</v>
      </c>
      <c r="D2" s="2">
        <v>1.37</v>
      </c>
      <c r="E2" s="2">
        <v>1.24</v>
      </c>
      <c r="F2" s="8">
        <v>1.1100000000000001</v>
      </c>
      <c r="G2" s="11">
        <f t="shared" ref="G2:G23" si="0">AVERAGE(B2:F2)</f>
        <v>1.2520000000000002</v>
      </c>
    </row>
    <row r="3" spans="1:7" x14ac:dyDescent="0.25">
      <c r="A3" s="1" t="s">
        <v>2</v>
      </c>
      <c r="B3" s="2">
        <v>1.34</v>
      </c>
      <c r="C3" s="2">
        <v>1.22</v>
      </c>
      <c r="D3" s="2">
        <v>1.48</v>
      </c>
      <c r="E3" s="2">
        <v>1.03</v>
      </c>
      <c r="F3" s="8">
        <v>1.1100000000000001</v>
      </c>
      <c r="G3" s="11">
        <f t="shared" si="0"/>
        <v>1.2360000000000002</v>
      </c>
    </row>
    <row r="4" spans="1:7" x14ac:dyDescent="0.25">
      <c r="A4" s="1" t="s">
        <v>3</v>
      </c>
      <c r="B4" s="2">
        <v>1.52</v>
      </c>
      <c r="C4" s="2">
        <v>1.18</v>
      </c>
      <c r="D4" s="2">
        <v>1.45</v>
      </c>
      <c r="E4" s="2">
        <v>1.1100000000000001</v>
      </c>
      <c r="F4" s="8">
        <v>1.1299999999999999</v>
      </c>
      <c r="G4" s="11">
        <f t="shared" si="0"/>
        <v>1.278</v>
      </c>
    </row>
    <row r="5" spans="1:7" x14ac:dyDescent="0.25">
      <c r="A5" s="1" t="s">
        <v>4</v>
      </c>
      <c r="B5" s="2">
        <v>1.45</v>
      </c>
      <c r="C5" s="2">
        <v>1.29</v>
      </c>
      <c r="D5" s="2">
        <v>1.3</v>
      </c>
      <c r="E5" s="2">
        <v>1.1200000000000001</v>
      </c>
      <c r="F5" s="8">
        <v>1.23</v>
      </c>
      <c r="G5" s="11">
        <f t="shared" si="0"/>
        <v>1.278</v>
      </c>
    </row>
    <row r="6" spans="1:7" x14ac:dyDescent="0.25">
      <c r="A6" s="1" t="s">
        <v>5</v>
      </c>
      <c r="B6" s="2">
        <v>1.4</v>
      </c>
      <c r="C6" s="2">
        <v>1.08</v>
      </c>
      <c r="D6" s="2">
        <v>1.49</v>
      </c>
      <c r="E6" s="2">
        <v>1.08</v>
      </c>
      <c r="F6" s="8">
        <v>1.04</v>
      </c>
      <c r="G6" s="11">
        <f t="shared" si="0"/>
        <v>1.218</v>
      </c>
    </row>
    <row r="7" spans="1:7" x14ac:dyDescent="0.25">
      <c r="A7" s="1" t="s">
        <v>6</v>
      </c>
      <c r="B7" s="2">
        <v>1.44</v>
      </c>
      <c r="C7" s="2">
        <v>1.1599999999999999</v>
      </c>
      <c r="D7" s="2">
        <v>1.36</v>
      </c>
      <c r="E7" s="2">
        <v>1.1200000000000001</v>
      </c>
      <c r="F7" s="8">
        <v>0.97</v>
      </c>
      <c r="G7" s="11">
        <f t="shared" si="0"/>
        <v>1.21</v>
      </c>
    </row>
    <row r="8" spans="1:7" x14ac:dyDescent="0.25">
      <c r="A8" s="1" t="s">
        <v>7</v>
      </c>
      <c r="B8" s="2">
        <v>1.34</v>
      </c>
      <c r="C8" s="2">
        <v>1.33</v>
      </c>
      <c r="D8" s="2">
        <v>1.38</v>
      </c>
      <c r="E8" s="2">
        <v>1.1100000000000001</v>
      </c>
      <c r="F8" s="8">
        <v>1.05</v>
      </c>
      <c r="G8" s="11">
        <f t="shared" si="0"/>
        <v>1.242</v>
      </c>
    </row>
    <row r="9" spans="1:7" x14ac:dyDescent="0.25">
      <c r="A9" s="1" t="s">
        <v>8</v>
      </c>
      <c r="B9" s="2">
        <v>1.03</v>
      </c>
      <c r="C9" s="2">
        <v>0.67</v>
      </c>
      <c r="D9" s="2">
        <v>0.59</v>
      </c>
      <c r="E9" s="2">
        <v>0.4</v>
      </c>
      <c r="F9" s="8">
        <v>0.39</v>
      </c>
      <c r="G9" s="11">
        <f t="shared" si="0"/>
        <v>0.61599999999999999</v>
      </c>
    </row>
    <row r="10" spans="1:7" x14ac:dyDescent="0.25">
      <c r="A10" s="1" t="s">
        <v>9</v>
      </c>
      <c r="B10" s="2">
        <v>0.82</v>
      </c>
      <c r="C10" s="2">
        <v>0.34</v>
      </c>
      <c r="D10" s="2">
        <v>0.5</v>
      </c>
      <c r="E10" s="2">
        <v>0.31</v>
      </c>
      <c r="F10" s="8">
        <v>0.34</v>
      </c>
      <c r="G10" s="11">
        <f t="shared" si="0"/>
        <v>0.46200000000000002</v>
      </c>
    </row>
    <row r="11" spans="1:7" x14ac:dyDescent="0.25">
      <c r="A11" s="1" t="s">
        <v>10</v>
      </c>
      <c r="B11" s="2">
        <v>0.86</v>
      </c>
      <c r="C11" s="2">
        <v>0.33</v>
      </c>
      <c r="D11" s="2">
        <v>0.89</v>
      </c>
      <c r="E11" s="2">
        <v>0.4</v>
      </c>
      <c r="F11" s="8">
        <v>0.34</v>
      </c>
      <c r="G11" s="11">
        <f t="shared" si="0"/>
        <v>0.56399999999999995</v>
      </c>
    </row>
    <row r="12" spans="1:7" x14ac:dyDescent="0.25">
      <c r="A12" s="1" t="s">
        <v>11</v>
      </c>
      <c r="B12" s="2">
        <v>0.89</v>
      </c>
      <c r="C12" s="2">
        <v>0.54</v>
      </c>
      <c r="D12" s="2">
        <v>1.03</v>
      </c>
      <c r="E12" s="2">
        <v>0.38</v>
      </c>
      <c r="F12" s="8">
        <v>0.38</v>
      </c>
      <c r="G12" s="11">
        <f t="shared" si="0"/>
        <v>0.64399999999999991</v>
      </c>
    </row>
    <row r="13" spans="1:7" x14ac:dyDescent="0.25">
      <c r="A13" s="1" t="s">
        <v>12</v>
      </c>
      <c r="B13" s="2">
        <v>0.61</v>
      </c>
      <c r="C13" s="2">
        <v>0.46</v>
      </c>
      <c r="D13" s="2">
        <v>0.72</v>
      </c>
      <c r="E13" s="2">
        <v>0.28000000000000003</v>
      </c>
      <c r="F13" s="8">
        <v>0.38</v>
      </c>
      <c r="G13" s="11">
        <f t="shared" si="0"/>
        <v>0.49000000000000005</v>
      </c>
    </row>
    <row r="14" spans="1:7" x14ac:dyDescent="0.25">
      <c r="A14" s="1" t="s">
        <v>13</v>
      </c>
      <c r="B14" s="2">
        <v>0.42</v>
      </c>
      <c r="C14" s="2">
        <v>0.41</v>
      </c>
      <c r="D14" s="2">
        <v>0.9</v>
      </c>
      <c r="E14" s="2">
        <v>0.56000000000000005</v>
      </c>
      <c r="F14" s="8">
        <v>0.18</v>
      </c>
      <c r="G14" s="11">
        <f t="shared" si="0"/>
        <v>0.49400000000000005</v>
      </c>
    </row>
    <row r="15" spans="1:7" x14ac:dyDescent="0.25">
      <c r="A15" s="1" t="s">
        <v>14</v>
      </c>
      <c r="B15" s="2">
        <v>0.93</v>
      </c>
      <c r="C15" s="2">
        <v>0.31</v>
      </c>
      <c r="D15" s="2">
        <v>0.99</v>
      </c>
      <c r="E15" s="2">
        <v>0.13</v>
      </c>
      <c r="F15" s="8">
        <v>0.36</v>
      </c>
      <c r="G15" s="11">
        <f t="shared" si="0"/>
        <v>0.54399999999999993</v>
      </c>
    </row>
    <row r="16" spans="1:7" x14ac:dyDescent="0.25">
      <c r="A16" s="1" t="s">
        <v>15</v>
      </c>
      <c r="B16" s="2">
        <v>1.39</v>
      </c>
      <c r="C16" s="2">
        <v>0.69</v>
      </c>
      <c r="D16" s="2">
        <v>1.07</v>
      </c>
      <c r="E16" s="2">
        <v>0.87</v>
      </c>
      <c r="F16" s="8">
        <v>0.73</v>
      </c>
      <c r="G16" s="11">
        <f t="shared" si="0"/>
        <v>0.95</v>
      </c>
    </row>
    <row r="17" spans="1:7" x14ac:dyDescent="0.25">
      <c r="A17" s="1" t="s">
        <v>16</v>
      </c>
      <c r="B17" s="2">
        <v>1.19</v>
      </c>
      <c r="C17" s="2">
        <v>0.6</v>
      </c>
      <c r="D17" s="2">
        <v>1.05</v>
      </c>
      <c r="E17" s="2">
        <v>0.73</v>
      </c>
      <c r="F17" s="8">
        <v>0.88</v>
      </c>
      <c r="G17" s="11">
        <f t="shared" si="0"/>
        <v>0.89</v>
      </c>
    </row>
    <row r="18" spans="1:7" x14ac:dyDescent="0.25">
      <c r="A18" s="1" t="s">
        <v>17</v>
      </c>
      <c r="B18" s="2">
        <v>1.4</v>
      </c>
      <c r="C18" s="2">
        <v>0.76</v>
      </c>
      <c r="D18" s="2">
        <v>1.19</v>
      </c>
      <c r="E18" s="2">
        <v>0.68</v>
      </c>
      <c r="F18" s="8">
        <v>0.81</v>
      </c>
      <c r="G18" s="11">
        <f t="shared" si="0"/>
        <v>0.96799999999999997</v>
      </c>
    </row>
    <row r="19" spans="1:7" x14ac:dyDescent="0.25">
      <c r="A19" s="1" t="s">
        <v>18</v>
      </c>
      <c r="B19" s="2">
        <v>1.1100000000000001</v>
      </c>
      <c r="C19" s="2">
        <v>0.87</v>
      </c>
      <c r="D19" s="2">
        <v>0.97</v>
      </c>
      <c r="E19" s="2">
        <v>0.85</v>
      </c>
      <c r="F19" s="8">
        <v>0.66</v>
      </c>
      <c r="G19" s="11">
        <f t="shared" si="0"/>
        <v>0.89200000000000002</v>
      </c>
    </row>
    <row r="20" spans="1:7" x14ac:dyDescent="0.25">
      <c r="A20" s="1" t="s">
        <v>19</v>
      </c>
      <c r="B20" s="2">
        <v>0.99</v>
      </c>
      <c r="C20" s="2">
        <v>0.81</v>
      </c>
      <c r="D20" s="2">
        <v>1.1599999999999999</v>
      </c>
      <c r="E20" s="2">
        <v>0.76</v>
      </c>
      <c r="F20" s="8">
        <v>0.87</v>
      </c>
      <c r="G20" s="11">
        <f t="shared" si="0"/>
        <v>0.91799999999999993</v>
      </c>
    </row>
    <row r="21" spans="1:7" x14ac:dyDescent="0.25">
      <c r="A21" s="1" t="s">
        <v>20</v>
      </c>
      <c r="B21" s="2">
        <v>1.33</v>
      </c>
      <c r="C21" s="2">
        <v>0.76</v>
      </c>
      <c r="D21" s="2">
        <v>1.06</v>
      </c>
      <c r="E21" s="2">
        <v>0.74</v>
      </c>
      <c r="F21" s="8">
        <v>0.69</v>
      </c>
      <c r="G21" s="11">
        <f t="shared" si="0"/>
        <v>0.91600000000000004</v>
      </c>
    </row>
    <row r="22" spans="1:7" x14ac:dyDescent="0.25">
      <c r="A22" s="1" t="s">
        <v>21</v>
      </c>
      <c r="B22" s="2">
        <v>1.01</v>
      </c>
      <c r="C22" s="2">
        <v>1.02</v>
      </c>
      <c r="D22" s="2">
        <v>1.28</v>
      </c>
      <c r="E22" s="2">
        <v>0.8</v>
      </c>
      <c r="F22" s="8">
        <v>0.78</v>
      </c>
      <c r="G22" s="11">
        <f t="shared" si="0"/>
        <v>0.97800000000000009</v>
      </c>
    </row>
    <row r="23" spans="1:7" x14ac:dyDescent="0.25">
      <c r="A23" s="3" t="s">
        <v>22</v>
      </c>
      <c r="B23" s="4">
        <v>1.1299999999999999</v>
      </c>
      <c r="C23" s="4">
        <v>0.81</v>
      </c>
      <c r="D23" s="4">
        <v>1.1100000000000001</v>
      </c>
      <c r="E23" s="4">
        <v>0.75</v>
      </c>
      <c r="F23" s="9">
        <v>0.73</v>
      </c>
      <c r="G23" s="11">
        <f t="shared" si="0"/>
        <v>0.90599999999999992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A40F-585B-4506-8CCA-2FD963CDF3DC}">
  <sheetPr codeName="Sheet6"/>
  <dimension ref="A1"/>
  <sheetViews>
    <sheetView workbookViewId="0">
      <selection activeCell="A8" sqref="A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6852-D3D2-4166-BE2E-A85E347A79F9}">
  <dimension ref="C2:N19"/>
  <sheetViews>
    <sheetView tabSelected="1" workbookViewId="0">
      <selection activeCell="F19" sqref="F19"/>
    </sheetView>
  </sheetViews>
  <sheetFormatPr defaultRowHeight="15" x14ac:dyDescent="0.25"/>
  <sheetData>
    <row r="2" spans="3:14" x14ac:dyDescent="0.25"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6" t="s">
        <v>40</v>
      </c>
      <c r="J2" s="6" t="s">
        <v>41</v>
      </c>
      <c r="K2" s="6" t="s">
        <v>42</v>
      </c>
      <c r="L2" s="6" t="s">
        <v>43</v>
      </c>
      <c r="M2" s="6" t="s">
        <v>44</v>
      </c>
      <c r="N2" s="7" t="s">
        <v>45</v>
      </c>
    </row>
    <row r="3" spans="3:14" x14ac:dyDescent="0.25">
      <c r="C3">
        <v>1.42</v>
      </c>
      <c r="D3">
        <v>1.34</v>
      </c>
      <c r="E3">
        <v>0.92</v>
      </c>
      <c r="F3">
        <v>1.27</v>
      </c>
      <c r="G3">
        <v>1.22</v>
      </c>
      <c r="H3">
        <v>1.23</v>
      </c>
      <c r="I3">
        <v>0.86</v>
      </c>
      <c r="J3">
        <v>1.1299999999999999</v>
      </c>
      <c r="K3">
        <v>0.81</v>
      </c>
      <c r="L3">
        <v>1.1100000000000001</v>
      </c>
      <c r="M3">
        <v>0.75</v>
      </c>
      <c r="N3">
        <v>0.73</v>
      </c>
    </row>
    <row r="6" spans="3:14" x14ac:dyDescent="0.25">
      <c r="E6" t="s">
        <v>48</v>
      </c>
      <c r="F6" t="s">
        <v>49</v>
      </c>
    </row>
    <row r="7" spans="3:14" x14ac:dyDescent="0.25">
      <c r="C7" s="6" t="s">
        <v>34</v>
      </c>
      <c r="D7">
        <v>1.42</v>
      </c>
      <c r="E7">
        <v>1.42</v>
      </c>
      <c r="F7">
        <f>E7-D7</f>
        <v>0</v>
      </c>
    </row>
    <row r="8" spans="3:14" x14ac:dyDescent="0.25">
      <c r="C8" s="6" t="s">
        <v>35</v>
      </c>
      <c r="D8">
        <v>1.34</v>
      </c>
      <c r="E8">
        <v>1.42</v>
      </c>
      <c r="F8">
        <f t="shared" ref="F8:F18" si="0">E8-D8</f>
        <v>7.9999999999999849E-2</v>
      </c>
    </row>
    <row r="9" spans="3:14" x14ac:dyDescent="0.25">
      <c r="C9" s="6" t="s">
        <v>36</v>
      </c>
      <c r="D9">
        <v>0.92</v>
      </c>
      <c r="E9">
        <v>1.42</v>
      </c>
      <c r="F9">
        <f t="shared" si="0"/>
        <v>0.49999999999999989</v>
      </c>
    </row>
    <row r="10" spans="3:14" x14ac:dyDescent="0.25">
      <c r="C10" s="6" t="s">
        <v>37</v>
      </c>
      <c r="D10">
        <v>1.27</v>
      </c>
      <c r="E10">
        <v>1.42</v>
      </c>
      <c r="F10">
        <f t="shared" si="0"/>
        <v>0.14999999999999991</v>
      </c>
    </row>
    <row r="11" spans="3:14" x14ac:dyDescent="0.25">
      <c r="C11" s="6" t="s">
        <v>38</v>
      </c>
      <c r="D11">
        <v>1.22</v>
      </c>
      <c r="E11">
        <v>1.42</v>
      </c>
      <c r="F11">
        <f t="shared" si="0"/>
        <v>0.19999999999999996</v>
      </c>
    </row>
    <row r="12" spans="3:14" x14ac:dyDescent="0.25">
      <c r="C12" s="6" t="s">
        <v>39</v>
      </c>
      <c r="D12">
        <v>1.23</v>
      </c>
      <c r="E12">
        <v>1.42</v>
      </c>
      <c r="F12">
        <f t="shared" si="0"/>
        <v>0.18999999999999995</v>
      </c>
    </row>
    <row r="13" spans="3:14" x14ac:dyDescent="0.25">
      <c r="C13" s="6" t="s">
        <v>40</v>
      </c>
      <c r="D13">
        <v>0.86</v>
      </c>
      <c r="E13">
        <v>1.42</v>
      </c>
      <c r="F13">
        <f t="shared" si="0"/>
        <v>0.55999999999999994</v>
      </c>
    </row>
    <row r="14" spans="3:14" x14ac:dyDescent="0.25">
      <c r="C14" s="6" t="s">
        <v>41</v>
      </c>
      <c r="D14">
        <v>1.1299999999999999</v>
      </c>
      <c r="E14">
        <v>1.42</v>
      </c>
      <c r="F14">
        <f t="shared" si="0"/>
        <v>0.29000000000000004</v>
      </c>
    </row>
    <row r="15" spans="3:14" x14ac:dyDescent="0.25">
      <c r="C15" s="6" t="s">
        <v>42</v>
      </c>
      <c r="D15">
        <v>0.81</v>
      </c>
      <c r="E15">
        <v>1.42</v>
      </c>
      <c r="F15">
        <f t="shared" si="0"/>
        <v>0.60999999999999988</v>
      </c>
    </row>
    <row r="16" spans="3:14" x14ac:dyDescent="0.25">
      <c r="C16" s="6" t="s">
        <v>43</v>
      </c>
      <c r="D16">
        <v>1.1100000000000001</v>
      </c>
      <c r="E16">
        <v>1.42</v>
      </c>
      <c r="F16">
        <f t="shared" si="0"/>
        <v>0.30999999999999983</v>
      </c>
    </row>
    <row r="17" spans="3:6" x14ac:dyDescent="0.25">
      <c r="C17" s="6" t="s">
        <v>44</v>
      </c>
      <c r="D17">
        <v>0.75</v>
      </c>
      <c r="E17">
        <v>1.42</v>
      </c>
      <c r="F17">
        <f t="shared" si="0"/>
        <v>0.66999999999999993</v>
      </c>
    </row>
    <row r="18" spans="3:6" x14ac:dyDescent="0.25">
      <c r="C18" s="7" t="s">
        <v>45</v>
      </c>
      <c r="D18">
        <v>0.73</v>
      </c>
      <c r="E18">
        <v>1.42</v>
      </c>
      <c r="F18">
        <f t="shared" si="0"/>
        <v>0.69</v>
      </c>
    </row>
    <row r="19" spans="3:6" x14ac:dyDescent="0.25">
      <c r="F19" s="27">
        <f>AVERAGE(F8:F18)</f>
        <v>0.38636363636363635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DCED1A338C294FB839044B3261CE72" ma:contentTypeVersion="16" ma:contentTypeDescription="Create a new document." ma:contentTypeScope="" ma:versionID="bc0edf076d56e636141d1dc9e4be5efd">
  <xsd:schema xmlns:xsd="http://www.w3.org/2001/XMLSchema" xmlns:xs="http://www.w3.org/2001/XMLSchema" xmlns:p="http://schemas.microsoft.com/office/2006/metadata/properties" xmlns:ns3="53b4e0c9-def2-4e21-a406-574a5e698391" xmlns:ns4="34af18ce-785a-4dc4-8ed2-e448460574e5" targetNamespace="http://schemas.microsoft.com/office/2006/metadata/properties" ma:root="true" ma:fieldsID="53c2681875f727a5542c566a58254c87" ns3:_="" ns4:_="">
    <xsd:import namespace="53b4e0c9-def2-4e21-a406-574a5e698391"/>
    <xsd:import namespace="34af18ce-785a-4dc4-8ed2-e448460574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b4e0c9-def2-4e21-a406-574a5e698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f18ce-785a-4dc4-8ed2-e448460574e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b4e0c9-def2-4e21-a406-574a5e69839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663E9D-30DE-465D-A6CE-9F73776419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b4e0c9-def2-4e21-a406-574a5e698391"/>
    <ds:schemaRef ds:uri="34af18ce-785a-4dc4-8ed2-e448460574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59B772-60DD-43A8-8E7F-5B2FB1459F1B}">
  <ds:schemaRefs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34af18ce-785a-4dc4-8ed2-e448460574e5"/>
    <ds:schemaRef ds:uri="53b4e0c9-def2-4e21-a406-574a5e698391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E8FE767-5CD7-447B-80DE-38A34E9806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beans_yield_t_ha</vt:lpstr>
      <vt:lpstr>20 average yields</vt:lpstr>
      <vt:lpstr>15 average yields</vt:lpstr>
      <vt:lpstr>10 average yields</vt:lpstr>
      <vt:lpstr>5 average yields</vt:lpstr>
      <vt:lpstr>Average yield per district</vt:lpstr>
      <vt:lpstr>standard deviation in 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Claude DUSHIME</dc:creator>
  <cp:lastModifiedBy>Jean Claude Dushime</cp:lastModifiedBy>
  <dcterms:created xsi:type="dcterms:W3CDTF">2025-10-07T13:19:26Z</dcterms:created>
  <dcterms:modified xsi:type="dcterms:W3CDTF">2025-11-13T17:30:25Z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0x010100D4DCED1A338C294FB839044B3261CE72</vt:lpwstr>
  </property>
</Properties>
</file>